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ncontros" sheetId="2" state="visible" r:id="rId2"/>
    <sheet xmlns:r="http://schemas.openxmlformats.org/officeDocument/2006/relationships" name="Mantidos" sheetId="3" state="visible" r:id="rId3"/>
    <sheet xmlns:r="http://schemas.openxmlformats.org/officeDocument/2006/relationships" name="Método" sheetId="4" state="visible" r:id="rId4"/>
  </sheets>
  <definedNames>
    <definedName name="_xlnm._FilterDatabase" localSheetId="1" hidden="1">'Encontros'!$A$1:$M$137</definedName>
    <definedName name="_xlnm._FilterDatabase" localSheetId="2" hidden="1">'Mantidos'!$A$1:$M$67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Encontros do ME e do SG do MRE com Fazenda/Economia, Planejamento e Orçamento e Casa Civil — agendas gov.br</t>
        </is>
      </c>
    </row>
    <row r="2">
      <c r="A2" s="2" t="inlineStr">
        <is>
          <t>Período: 01/11/2020 a 31/12/2022 (Araújo, França, Brandelli, Simas Magalhães) e 01/01/2023 a 07/05/2023 (Mauro Vieira). Extraído em 06/10/2026.</t>
        </is>
      </c>
    </row>
    <row r="4">
      <c r="A4" s="3" t="inlineStr">
        <is>
          <t>Classificação</t>
        </is>
      </c>
      <c r="B4" s="3" t="inlineStr">
        <is>
          <t>Ministro de Estado</t>
        </is>
      </c>
      <c r="C4" s="3" t="inlineStr">
        <is>
          <t>Secretário-Geral</t>
        </is>
      </c>
      <c r="D4" s="3" t="inlineStr">
        <is>
          <t>Total</t>
        </is>
      </c>
    </row>
    <row r="5">
      <c r="A5" s="4" t="inlineStr">
        <is>
          <t>Mantido</t>
        </is>
      </c>
      <c r="B5" s="4">
        <f>COUNTIFS(Encontros!$I$2:$I$137,$A5,Encontros!$D$2:$D$137,"Ministro de Estado")</f>
        <v/>
      </c>
      <c r="C5" s="4">
        <f>COUNTIFS(Encontros!$I$2:$I$137,$A5,Encontros!$D$2:$D$137,"Secretário-Geral")</f>
        <v/>
      </c>
      <c r="D5" s="4">
        <f>B5+C5</f>
        <v/>
      </c>
    </row>
    <row r="6">
      <c r="A6" s="4" t="inlineStr">
        <is>
          <t>Excluído — falso positivo lexical</t>
        </is>
      </c>
      <c r="B6" s="4">
        <f>COUNTIFS(Encontros!$I$2:$I$137,$A6,Encontros!$D$2:$D$137,"Ministro de Estado")</f>
        <v/>
      </c>
      <c r="C6" s="4">
        <f>COUNTIFS(Encontros!$I$2:$I$137,$A6,Encontros!$D$2:$D$137,"Secretário-Geral")</f>
        <v/>
      </c>
      <c r="D6" s="4">
        <f>B6+C6</f>
        <v/>
      </c>
    </row>
    <row r="7">
      <c r="A7" s="4" t="inlineStr">
        <is>
          <t>Excluído — porte (cerimônia pública)</t>
        </is>
      </c>
      <c r="B7" s="4">
        <f>COUNTIFS(Encontros!$I$2:$I$137,$A7,Encontros!$D$2:$D$137,"Ministro de Estado")</f>
        <v/>
      </c>
      <c r="C7" s="4">
        <f>COUNTIFS(Encontros!$I$2:$I$137,$A7,Encontros!$D$2:$D$137,"Secretário-Geral")</f>
        <v/>
      </c>
      <c r="D7" s="4">
        <f>B7+C7</f>
        <v/>
      </c>
    </row>
    <row r="8">
      <c r="A8" s="4" t="inlineStr">
        <is>
          <t>Excluído — tema de política externa</t>
        </is>
      </c>
      <c r="B8" s="4">
        <f>COUNTIFS(Encontros!$I$2:$I$137,$A8,Encontros!$D$2:$D$137,"Ministro de Estado")</f>
        <v/>
      </c>
      <c r="C8" s="4">
        <f>COUNTIFS(Encontros!$I$2:$I$137,$A8,Encontros!$D$2:$D$137,"Secretário-Geral")</f>
        <v/>
      </c>
      <c r="D8" s="4">
        <f>B8+C8</f>
        <v/>
      </c>
    </row>
    <row r="9">
      <c r="A9" s="4" t="inlineStr">
        <is>
          <t>Excluído — órgão fora do escopo</t>
        </is>
      </c>
      <c r="B9" s="4">
        <f>COUNTIFS(Encontros!$I$2:$I$137,$A9,Encontros!$D$2:$D$137,"Ministro de Estado")</f>
        <v/>
      </c>
      <c r="C9" s="4">
        <f>COUNTIFS(Encontros!$I$2:$I$137,$A9,Encontros!$D$2:$D$137,"Secretário-Geral")</f>
        <v/>
      </c>
      <c r="D9" s="4">
        <f>B9+C9</f>
        <v/>
      </c>
    </row>
    <row r="10">
      <c r="A10" s="5" t="inlineStr">
        <is>
          <t>Total de candidatos</t>
        </is>
      </c>
      <c r="B10" s="5">
        <f>SUM(B5:B9)</f>
        <v/>
      </c>
      <c r="C10" s="5">
        <f>SUM(C5:C9)</f>
        <v/>
      </c>
      <c r="D10" s="5">
        <f>SUM(D5:D9)</f>
        <v/>
      </c>
    </row>
    <row r="12">
      <c r="A12" s="4" t="inlineStr">
        <is>
          <t>Eventos distintos mantidos (ME+SG no mesmo horário = 1)</t>
        </is>
      </c>
      <c r="B12" s="4" t="n">
        <v>60</v>
      </c>
      <c r="C12" s="2" t="inlineStr">
        <is>
          <t>valor calculado pelo script (coluna Evento da aba Encontros)</t>
        </is>
      </c>
    </row>
    <row r="14">
      <c r="A14" s="6" t="inlineStr"/>
    </row>
    <row r="15">
      <c r="A15" s="5" t="inlineStr">
        <is>
          <t>Como ler</t>
        </is>
      </c>
    </row>
    <row r="16">
      <c r="A16" s="6" t="inlineStr">
        <is>
          <t>• 'Candidatos' = compromissos cujo título cita um dos órgãos, seus titulares ou cargos (lista de termos na aba Método).</t>
        </is>
      </c>
    </row>
    <row r="17">
      <c r="A17" s="6" t="inlineStr">
        <is>
          <t>• A triagem replica, no que a fonte permite, os critérios do relatório e-Agendas: tema de política externa, porte, órgão do escopo.</t>
        </is>
      </c>
    </row>
    <row r="18">
      <c r="A18" s="6" t="inlineStr">
        <is>
          <t>• A agenda gov.br não lista participantes: o critério de porte só pôde ser aplicado a cerimônias/posses. Almoços foram mantidos, como no relatório.</t>
        </is>
      </c>
    </row>
    <row r="19">
      <c r="A19" s="6" t="inlineStr">
        <is>
          <t>• Mapeamento de órgãos 2019–2022: Ministério da Economia = sucessor de Fazenda e Planejamento/Orçamento; Receita Federal e SOF integram a Economia.</t>
        </is>
      </c>
    </row>
    <row r="20">
      <c r="A20" s="6" t="inlineStr">
        <is>
          <t>• Fora do escopo (como no relatório): Secretaria de Governo, Secretaria-Geral da Presidência, AGU, CGU, BNDES, MGI.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17" customWidth="1" min="4" max="4"/>
    <col width="26" customWidth="1" min="5" max="5"/>
    <col width="30" customWidth="1" min="6" max="6"/>
    <col width="70" customWidth="1" min="7" max="7"/>
    <col width="32" customWidth="1" min="8" max="8"/>
    <col width="34" customWidth="1" min="9" max="9"/>
    <col width="48" customWidth="1" min="10" max="10"/>
    <col width="48" customWidth="1" min="11" max="11"/>
    <col width="8" customWidth="1" min="12" max="12"/>
    <col width="60" customWidth="1" min="13" max="13"/>
  </cols>
  <sheetData>
    <row r="1" ht="30" customHeight="1">
      <c r="A1" s="7" t="inlineStr">
        <is>
          <t>Nº</t>
        </is>
      </c>
      <c r="B1" s="7" t="inlineStr">
        <is>
          <t>Data</t>
        </is>
      </c>
      <c r="C1" s="7" t="inlineStr">
        <is>
          <t>Hora</t>
        </is>
      </c>
      <c r="D1" s="7" t="inlineStr">
        <is>
          <t>Agenda</t>
        </is>
      </c>
      <c r="E1" s="7" t="inlineStr">
        <is>
          <t>Autoridade</t>
        </is>
      </c>
      <c r="F1" s="7" t="inlineStr">
        <is>
          <t>Órgão identificado</t>
        </is>
      </c>
      <c r="G1" s="7" t="inlineStr">
        <is>
          <t>Compromisso (título em gov.br)</t>
        </is>
      </c>
      <c r="H1" s="7" t="inlineStr">
        <is>
          <t>Local</t>
        </is>
      </c>
      <c r="I1" s="7" t="inlineStr">
        <is>
          <t>Classificação</t>
        </is>
      </c>
      <c r="J1" s="7" t="inlineStr">
        <is>
          <t>Motivo</t>
        </is>
      </c>
      <c r="K1" s="7" t="inlineStr">
        <is>
          <t>Observações</t>
        </is>
      </c>
      <c r="L1" s="7" t="inlineStr">
        <is>
          <t>Evento</t>
        </is>
      </c>
      <c r="M1" s="7" t="inlineStr">
        <is>
          <t>URL (gov.br)</t>
        </is>
      </c>
    </row>
    <row r="2">
      <c r="A2" s="8" t="n">
        <v>1</v>
      </c>
      <c r="B2" s="9" t="n">
        <v>44154</v>
      </c>
      <c r="C2" s="8" t="inlineStr">
        <is>
          <t>16:00</t>
        </is>
      </c>
      <c r="D2" s="8" t="inlineStr">
        <is>
          <t>Secretário-Geral</t>
        </is>
      </c>
      <c r="E2" s="8" t="inlineStr">
        <is>
          <t>Otávio Brandelli</t>
        </is>
      </c>
      <c r="F2" s="8" t="inlineStr">
        <is>
          <t>(outro)</t>
        </is>
      </c>
      <c r="G2" s="8" t="inlineStr">
        <is>
          <t>Subchefe Adjunto de Assuntos Institucionais da Subchefia para Assuntos Jurídicos da Secretaria-Geral da Presidência da República, Renato de Lima França</t>
        </is>
      </c>
      <c r="H2" s="8" t="inlineStr">
        <is>
          <t>Secretaria-Geral</t>
        </is>
      </c>
      <c r="I2" s="8" t="inlineStr">
        <is>
          <t>Excluído — órgão fora do escopo</t>
        </is>
      </c>
      <c r="J2" s="8" t="inlineStr">
        <is>
          <t>Órgão não coberto pelo relatório (SEGOV, SGPR, AGU, CGU, BNDES, MGI, Gabinete da PR).</t>
        </is>
      </c>
      <c r="K2" s="8" t="inlineStr"/>
      <c r="L2" s="8" t="inlineStr"/>
      <c r="M2" s="8" t="inlineStr">
        <is>
          <t>https://www.gov.br/mre/pt-br/agendas/agendas-de-autoridades-anteriores/agenda-antiga-otavio-brandelli/2020-11-19</t>
        </is>
      </c>
    </row>
    <row r="3">
      <c r="A3" s="8" t="n">
        <v>2</v>
      </c>
      <c r="B3" s="9" t="n">
        <v>44159</v>
      </c>
      <c r="C3" s="8" t="inlineStr">
        <is>
          <t>16:00</t>
        </is>
      </c>
      <c r="D3" s="8" t="inlineStr">
        <is>
          <t>Secretário-Geral</t>
        </is>
      </c>
      <c r="E3" s="8" t="inlineStr">
        <is>
          <t>Otávio Brandelli</t>
        </is>
      </c>
      <c r="F3" s="8" t="inlineStr">
        <is>
          <t>Casa Civil</t>
        </is>
      </c>
      <c r="G3" s="8" t="inlineStr">
        <is>
          <t>Reunião com o secretário-executivo da Casa Civil da Presidência da República, general Sérgio Pereira</t>
        </is>
      </c>
      <c r="H3" s="8" t="inlineStr">
        <is>
          <t>Palácio do Planalto</t>
        </is>
      </c>
      <c r="I3" s="8" t="inlineStr">
        <is>
          <t>Mantido</t>
        </is>
      </c>
      <c r="J3" s="8" t="inlineStr">
        <is>
          <t>Interlocutor de órgão do escopo; título sem tema de política externa; composição aparentemente restrita.</t>
        </is>
      </c>
      <c r="K3" s="8" t="inlineStr"/>
      <c r="L3" s="8" t="n">
        <v>1</v>
      </c>
      <c r="M3" s="8" t="inlineStr">
        <is>
          <t>https://www.gov.br/mre/pt-br/agendas/agendas-de-autoridades-anteriores/agenda-antiga-otavio-brandelli/2020-11-24</t>
        </is>
      </c>
    </row>
    <row r="4">
      <c r="A4" s="8" t="n">
        <v>3</v>
      </c>
      <c r="B4" s="9" t="n">
        <v>44160</v>
      </c>
      <c r="C4" s="8" t="inlineStr">
        <is>
          <t>15:00</t>
        </is>
      </c>
      <c r="D4" s="8" t="inlineStr">
        <is>
          <t>Secretário-Geral</t>
        </is>
      </c>
      <c r="E4" s="8" t="inlineStr">
        <is>
          <t>Otávio Brandelli</t>
        </is>
      </c>
      <c r="F4" s="8" t="inlineStr">
        <is>
          <t>Casa Civil</t>
        </is>
      </c>
      <c r="G4" s="8" t="inlineStr">
        <is>
          <t>Secretário-Executivo da Secretaria de Governo da Presidência da República, Jônathas Assunção Salvador Nery de Castro e Secretário Especial de Assuntos Parlamentares da Secretaria de Governo da Presidência da República, André Luís Boratto Braga</t>
        </is>
      </c>
      <c r="H4" s="8" t="inlineStr">
        <is>
          <t>Secretaria-Geral</t>
        </is>
      </c>
      <c r="I4" s="8" t="inlineStr">
        <is>
          <t>Excluído — órgão fora do escopo</t>
        </is>
      </c>
      <c r="J4" s="8" t="inlineStr">
        <is>
          <t>Órgão não coberto pelo relatório (SEGOV, SGPR, AGU, CGU, BNDES, MGI, Gabinete da PR).</t>
        </is>
      </c>
      <c r="K4" s="8" t="inlineStr"/>
      <c r="L4" s="8" t="inlineStr"/>
      <c r="M4" s="8" t="inlineStr">
        <is>
          <t>https://www.gov.br/mre/pt-br/agendas/agendas-de-autoridades-anteriores/agenda-antiga-otavio-brandelli/2020-11-25</t>
        </is>
      </c>
    </row>
    <row r="5">
      <c r="A5" s="8" t="n">
        <v>4</v>
      </c>
      <c r="B5" s="9" t="n">
        <v>44173</v>
      </c>
      <c r="C5" s="8" t="inlineStr">
        <is>
          <t>13:00</t>
        </is>
      </c>
      <c r="D5" s="8" t="inlineStr">
        <is>
          <t>Secretário-Geral</t>
        </is>
      </c>
      <c r="E5" s="8" t="inlineStr">
        <is>
          <t>Otávio Brandelli</t>
        </is>
      </c>
      <c r="F5" s="8" t="inlineStr">
        <is>
          <t>(outro)</t>
        </is>
      </c>
      <c r="G5" s="8" t="inlineStr">
        <is>
          <t>Almoço oferecido pelo ME ao Ministro de Estado Chefe da Secretaria-Geral da Presidência da República, Jorge Antônio de Oliveira Francisco</t>
        </is>
      </c>
      <c r="H5" s="8" t="inlineStr">
        <is>
          <t>Palácio Itamaraty</t>
        </is>
      </c>
      <c r="I5" s="8" t="inlineStr">
        <is>
          <t>Excluído — órgão fora do escopo</t>
        </is>
      </c>
      <c r="J5" s="8" t="inlineStr">
        <is>
          <t>Órgão não coberto pelo relatório (SEGOV, SGPR, AGU, CGU, BNDES, MGI, Gabinete da PR).</t>
        </is>
      </c>
      <c r="K5" s="8" t="inlineStr">
        <is>
          <t>Almoço; porte não verificável (a agenda gov.br não lista participantes).</t>
        </is>
      </c>
      <c r="L5" s="8" t="inlineStr"/>
      <c r="M5" s="8" t="inlineStr">
        <is>
          <t>https://www.gov.br/mre/pt-br/agendas/agendas-de-autoridades-anteriores/agenda-antiga-otavio-brandelli/2020-12-08</t>
        </is>
      </c>
    </row>
    <row r="6">
      <c r="A6" s="8" t="n">
        <v>5</v>
      </c>
      <c r="B6" s="9" t="n">
        <v>44173</v>
      </c>
      <c r="C6" s="8" t="inlineStr">
        <is>
          <t>17:00</t>
        </is>
      </c>
      <c r="D6" s="8" t="inlineStr">
        <is>
          <t>Ministro de Estado</t>
        </is>
      </c>
      <c r="E6" s="8" t="inlineStr">
        <is>
          <t>Ernesto Fraga Araújo</t>
        </is>
      </c>
      <c r="F6" s="8" t="inlineStr">
        <is>
          <t>Casa Civil</t>
        </is>
      </c>
      <c r="G6" s="8" t="inlineStr">
        <is>
          <t>Reunião com o Ministro-Chefe da Casa Civil, General Braga Netto</t>
        </is>
      </c>
      <c r="H6" s="8" t="inlineStr">
        <is>
          <t>Palácio do Planalto</t>
        </is>
      </c>
      <c r="I6" s="8" t="inlineStr">
        <is>
          <t>Mantido</t>
        </is>
      </c>
      <c r="J6" s="8" t="inlineStr">
        <is>
          <t>Interlocutor de órgão do escopo; título sem tema de política externa; composição aparentemente restrita.</t>
        </is>
      </c>
      <c r="K6" s="8" t="inlineStr"/>
      <c r="L6" s="8" t="n">
        <v>2</v>
      </c>
      <c r="M6" s="8" t="inlineStr">
        <is>
          <t>https://www.gov.br/mre/pt-br/agendas/agendas-de-autoridades-anteriores/agenda-antiga-ernesto-fraga-araujo/2020-12-08</t>
        </is>
      </c>
    </row>
    <row r="7">
      <c r="A7" s="8" t="n">
        <v>6</v>
      </c>
      <c r="B7" s="9" t="n">
        <v>44176</v>
      </c>
      <c r="C7" s="8" t="inlineStr">
        <is>
          <t>16:30</t>
        </is>
      </c>
      <c r="D7" s="8" t="inlineStr">
        <is>
          <t>Secretário-Geral</t>
        </is>
      </c>
      <c r="E7" s="8" t="inlineStr">
        <is>
          <t>Otávio Brandelli</t>
        </is>
      </c>
      <c r="F7" s="8" t="inlineStr">
        <is>
          <t>Casa Civil (Luiz Eduardo Ramos)</t>
        </is>
      </c>
      <c r="G7" s="8" t="inlineStr">
        <is>
          <t>Apresentação das cópias figuradas das cartas credenciais do embaixador de Portugal, SE Sr. Luís Filipe Melo e Faro Ramos</t>
        </is>
      </c>
      <c r="H7" s="8" t="inlineStr">
        <is>
          <t>Secretaria-Geral</t>
        </is>
      </c>
      <c r="I7" s="8" t="inlineStr">
        <is>
          <t>Excluído — falso positivo lexical</t>
        </is>
      </c>
      <c r="J7" s="8" t="inlineStr">
        <is>
          <t>Homônimo ou termo fora de contexto (Ramos; 'Planejamento Diplomático'; 'Fazenda da Esperança'; G20 'Economia e Saúde Global').</t>
        </is>
      </c>
      <c r="K7" s="8" t="inlineStr"/>
      <c r="L7" s="8" t="inlineStr"/>
      <c r="M7" s="8" t="inlineStr">
        <is>
          <t>https://www.gov.br/mre/pt-br/agendas/agendas-de-autoridades-anteriores/agenda-antiga-otavio-brandelli/2020-12-11</t>
        </is>
      </c>
    </row>
    <row r="8">
      <c r="A8" s="8" t="n">
        <v>7</v>
      </c>
      <c r="B8" s="9" t="n">
        <v>44202</v>
      </c>
      <c r="C8" s="8" t="inlineStr">
        <is>
          <t>15:15</t>
        </is>
      </c>
      <c r="D8" s="8" t="inlineStr">
        <is>
          <t>Secretário-Geral</t>
        </is>
      </c>
      <c r="E8" s="8" t="inlineStr">
        <is>
          <t>Otávio Brandelli</t>
        </is>
      </c>
      <c r="F8" s="8" t="inlineStr">
        <is>
          <t>Casa Civil</t>
        </is>
      </c>
      <c r="G8" s="8" t="inlineStr">
        <is>
          <t>Reunião do ministro-chefe da Casa Civil, general Walter Souza Braga Netto, com o embaixador da Eslovênia, Gorazd Rencelj</t>
        </is>
      </c>
      <c r="H8" s="8" t="inlineStr">
        <is>
          <t>Palácio do Planalto</t>
        </is>
      </c>
      <c r="I8" s="8" t="inlineStr">
        <is>
          <t>Excluído — tema de política externa</t>
        </is>
      </c>
      <c r="J8" s="8" t="inlineStr">
        <is>
          <t>Título indica tema de política externa (bilateral, cúpula, interlocutor estrangeiro).</t>
        </is>
      </c>
      <c r="K8" s="8" t="inlineStr"/>
      <c r="L8" s="8" t="inlineStr"/>
      <c r="M8" s="8" t="inlineStr">
        <is>
          <t>https://www.gov.br/mre/pt-br/agendas/agendas-de-autoridades-anteriores/agenda-antiga-otavio-brandelli/2021-01-06</t>
        </is>
      </c>
    </row>
    <row r="9">
      <c r="A9" s="8" t="n">
        <v>8</v>
      </c>
      <c r="B9" s="9" t="n">
        <v>44216</v>
      </c>
      <c r="C9" s="8" t="inlineStr">
        <is>
          <t>14:30</t>
        </is>
      </c>
      <c r="D9" s="8" t="inlineStr">
        <is>
          <t>Ministro de Estado</t>
        </is>
      </c>
      <c r="E9" s="8" t="inlineStr">
        <is>
          <t>Ernesto Fraga Araújo</t>
        </is>
      </c>
      <c r="F9" s="8" t="inlineStr">
        <is>
          <t>Casa Civil</t>
        </is>
      </c>
      <c r="G9" s="8" t="inlineStr">
        <is>
          <t>Reunião com o Ministro-Chefe da Casa Civil, General Braga Netto Local: Palácio do Planalto</t>
        </is>
      </c>
      <c r="H9" s="8" t="inlineStr">
        <is>
          <t>Gabinete</t>
        </is>
      </c>
      <c r="I9" s="8" t="inlineStr">
        <is>
          <t>Mantido</t>
        </is>
      </c>
      <c r="J9" s="8" t="inlineStr">
        <is>
          <t>Interlocutor de órgão do escopo; título sem tema de política externa; composição aparentemente restrita.</t>
        </is>
      </c>
      <c r="K9" s="8" t="inlineStr"/>
      <c r="L9" s="8" t="n">
        <v>3</v>
      </c>
      <c r="M9" s="8" t="inlineStr">
        <is>
          <t>https://www.gov.br/mre/pt-br/agendas/agendas-de-autoridades-anteriores/agenda-antiga-ernesto-fraga-araujo/2021-01-20</t>
        </is>
      </c>
    </row>
    <row r="10">
      <c r="A10" s="8" t="n">
        <v>9</v>
      </c>
      <c r="B10" s="9" t="n">
        <v>44216</v>
      </c>
      <c r="C10" s="8" t="inlineStr">
        <is>
          <t>15:00</t>
        </is>
      </c>
      <c r="D10" s="8" t="inlineStr">
        <is>
          <t>Secretário-Geral</t>
        </is>
      </c>
      <c r="E10" s="8" t="inlineStr">
        <is>
          <t>Otávio Brandelli</t>
        </is>
      </c>
      <c r="F10" s="8" t="inlineStr">
        <is>
          <t>Casa Civil</t>
        </is>
      </c>
      <c r="G10" s="8" t="inlineStr">
        <is>
          <t>Secretário-Executivo da Casa Civil da Presidência da República, general Sérgio Pereira</t>
        </is>
      </c>
      <c r="H10" s="8" t="inlineStr">
        <is>
          <t>Palácio do Planalto</t>
        </is>
      </c>
      <c r="I10" s="8" t="inlineStr">
        <is>
          <t>Mantido</t>
        </is>
      </c>
      <c r="J10" s="8" t="inlineStr">
        <is>
          <t>Interlocutor de órgão do escopo; título sem tema de política externa; composição aparentemente restrita.</t>
        </is>
      </c>
      <c r="K10" s="8" t="inlineStr"/>
      <c r="L10" s="8" t="n">
        <v>4</v>
      </c>
      <c r="M10" s="8" t="inlineStr">
        <is>
          <t>https://www.gov.br/mre/pt-br/agendas/agendas-de-autoridades-anteriores/agenda-antiga-otavio-brandelli/2021-01-20</t>
        </is>
      </c>
    </row>
    <row r="11">
      <c r="A11" s="8" t="n">
        <v>10</v>
      </c>
      <c r="B11" s="9" t="n">
        <v>44237</v>
      </c>
      <c r="C11" s="8" t="inlineStr">
        <is>
          <t>17:00</t>
        </is>
      </c>
      <c r="D11" s="8" t="inlineStr">
        <is>
          <t>Ministro de Estado</t>
        </is>
      </c>
      <c r="E11" s="8" t="inlineStr">
        <is>
          <t>Ernesto Fraga Araújo</t>
        </is>
      </c>
      <c r="F11" s="8" t="inlineStr">
        <is>
          <t>Ministério da Economia</t>
        </is>
      </c>
      <c r="G11" s="8" t="inlineStr">
        <is>
          <t>Ministro da Economia, Paulo Guedes</t>
        </is>
      </c>
      <c r="H11" s="8" t="inlineStr">
        <is>
          <t>Sala Rui Barbosa</t>
        </is>
      </c>
      <c r="I11" s="8" t="inlineStr">
        <is>
          <t>Mantido</t>
        </is>
      </c>
      <c r="J11" s="8" t="inlineStr">
        <is>
          <t>Interlocutor de órgão do escopo; título sem tema de política externa; composição aparentemente restrita.</t>
        </is>
      </c>
      <c r="K11" s="8" t="inlineStr"/>
      <c r="L11" s="8" t="n">
        <v>5</v>
      </c>
      <c r="M11" s="8" t="inlineStr">
        <is>
          <t>https://www.gov.br/mre/pt-br/agendas/agendas-de-autoridades-anteriores/agenda-antiga-ernesto-fraga-araujo/2021-02-10</t>
        </is>
      </c>
    </row>
    <row r="12">
      <c r="A12" s="8" t="n">
        <v>11</v>
      </c>
      <c r="B12" s="9" t="n">
        <v>44251</v>
      </c>
      <c r="C12" s="8" t="inlineStr">
        <is>
          <t>18:00</t>
        </is>
      </c>
      <c r="D12" s="8" t="inlineStr">
        <is>
          <t>Ministro de Estado</t>
        </is>
      </c>
      <c r="E12" s="8" t="inlineStr">
        <is>
          <t>Ernesto Fraga Araújo</t>
        </is>
      </c>
      <c r="F12" s="8" t="inlineStr">
        <is>
          <t>(outro)</t>
        </is>
      </c>
      <c r="G12" s="8" t="inlineStr">
        <is>
          <t>Cerimônia de posse do Ministro de Estado da Cidadania e do Ministro de Estado Chefe da Secretaria-Geral da Presidência da República; e sanção da Lei da Independência do Banco Central</t>
        </is>
      </c>
      <c r="H12" s="8" t="inlineStr">
        <is>
          <t>Palácio do Planalto</t>
        </is>
      </c>
      <c r="I12" s="8" t="inlineStr">
        <is>
          <t>Excluído — porte (cerimônia pública)</t>
        </is>
      </c>
      <c r="J12" s="8" t="inlineStr">
        <is>
          <t>Cerimônia ou posse: ato público amplo, análogo ao critério de porte do relatório.</t>
        </is>
      </c>
      <c r="K12" s="8" t="inlineStr"/>
      <c r="L12" s="8" t="inlineStr"/>
      <c r="M12" s="8" t="inlineStr">
        <is>
          <t>https://www.gov.br/mre/pt-br/agendas/agendas-de-autoridades-anteriores/agenda-antiga-ernesto-fraga-araujo/2021-02-24</t>
        </is>
      </c>
    </row>
    <row r="13">
      <c r="A13" s="8" t="n">
        <v>12</v>
      </c>
      <c r="B13" s="9" t="n">
        <v>44258</v>
      </c>
      <c r="C13" s="8" t="inlineStr">
        <is>
          <t>16:30</t>
        </is>
      </c>
      <c r="D13" s="8" t="inlineStr">
        <is>
          <t>Secretário-Geral</t>
        </is>
      </c>
      <c r="E13" s="8" t="inlineStr">
        <is>
          <t>Otávio Brandelli</t>
        </is>
      </c>
      <c r="F13" s="8" t="inlineStr">
        <is>
          <t>Casa Civil</t>
        </is>
      </c>
      <c r="G13" s="8" t="inlineStr">
        <is>
          <t>Reunião com o secretário-executivo da Casa Civil da Presidência da República, general Sérgio Pereira</t>
        </is>
      </c>
      <c r="H13" s="8" t="inlineStr">
        <is>
          <t>Palácio do Planalto</t>
        </is>
      </c>
      <c r="I13" s="8" t="inlineStr">
        <is>
          <t>Mantido</t>
        </is>
      </c>
      <c r="J13" s="8" t="inlineStr">
        <is>
          <t>Interlocutor de órgão do escopo; título sem tema de política externa; composição aparentemente restrita.</t>
        </is>
      </c>
      <c r="K13" s="8" t="inlineStr"/>
      <c r="L13" s="8" t="n">
        <v>6</v>
      </c>
      <c r="M13" s="8" t="inlineStr">
        <is>
          <t>https://www.gov.br/mre/pt-br/agendas/agendas-de-autoridades-anteriores/agenda-antiga-otavio-brandelli/2021-03-03</t>
        </is>
      </c>
    </row>
    <row r="14">
      <c r="A14" s="8" t="n">
        <v>13</v>
      </c>
      <c r="B14" s="9" t="n">
        <v>44259</v>
      </c>
      <c r="C14" s="8" t="inlineStr">
        <is>
          <t>16:30</t>
        </is>
      </c>
      <c r="D14" s="8" t="inlineStr">
        <is>
          <t>Ministro de Estado</t>
        </is>
      </c>
      <c r="E14" s="8" t="inlineStr">
        <is>
          <t>Ernesto Fraga Araújo</t>
        </is>
      </c>
      <c r="F14" s="8" t="inlineStr">
        <is>
          <t>Ministério da Economia</t>
        </is>
      </c>
      <c r="G14" s="8" t="inlineStr">
        <is>
          <t>Ministro da Economia, Paulo Guedes</t>
        </is>
      </c>
      <c r="H14" s="8" t="inlineStr">
        <is>
          <t>Ministério da Economia</t>
        </is>
      </c>
      <c r="I14" s="8" t="inlineStr">
        <is>
          <t>Mantido</t>
        </is>
      </c>
      <c r="J14" s="8" t="inlineStr">
        <is>
          <t>Interlocutor de órgão do escopo; título sem tema de política externa; composição aparentemente restrita.</t>
        </is>
      </c>
      <c r="K14" s="8" t="inlineStr"/>
      <c r="L14" s="8" t="n">
        <v>7</v>
      </c>
      <c r="M14" s="8" t="inlineStr">
        <is>
          <t>https://www.gov.br/mre/pt-br/agendas/agendas-de-autoridades-anteriores/agenda-antiga-ernesto-fraga-araujo/2021-03-04</t>
        </is>
      </c>
    </row>
    <row r="15">
      <c r="A15" s="8" t="n">
        <v>14</v>
      </c>
      <c r="B15" s="9" t="n">
        <v>44266</v>
      </c>
      <c r="C15" s="8" t="inlineStr">
        <is>
          <t>15:00</t>
        </is>
      </c>
      <c r="D15" s="8" t="inlineStr">
        <is>
          <t>Ministro de Estado</t>
        </is>
      </c>
      <c r="E15" s="8" t="inlineStr">
        <is>
          <t>Ernesto Fraga Araújo</t>
        </is>
      </c>
      <c r="F15" s="8" t="inlineStr">
        <is>
          <t>Casa Civil</t>
        </is>
      </c>
      <c r="G15" s="8" t="inlineStr">
        <is>
          <t>Reunião de coordenação na Casa Civil</t>
        </is>
      </c>
      <c r="H15" s="8" t="inlineStr">
        <is>
          <t>Palácio do Planalto</t>
        </is>
      </c>
      <c r="I15" s="8" t="inlineStr">
        <is>
          <t>Mantido</t>
        </is>
      </c>
      <c r="J15" s="8" t="inlineStr">
        <is>
          <t>Interlocutor de órgão do escopo; título sem tema de política externa; composição aparentemente restrita.</t>
        </is>
      </c>
      <c r="K15" s="8" t="inlineStr">
        <is>
          <t>Reunião de coordenação sem pauta declarada.</t>
        </is>
      </c>
      <c r="L15" s="8" t="n">
        <v>8</v>
      </c>
      <c r="M15" s="8" t="inlineStr">
        <is>
          <t>https://www.gov.br/mre/pt-br/agendas/agendas-de-autoridades-anteriores/agenda-antiga-ernesto-fraga-araujo/2021-03-11</t>
        </is>
      </c>
    </row>
    <row r="16">
      <c r="A16" s="8" t="n">
        <v>15</v>
      </c>
      <c r="B16" s="9" t="n">
        <v>44270</v>
      </c>
      <c r="C16" s="8" t="inlineStr">
        <is>
          <t>09:00</t>
        </is>
      </c>
      <c r="D16" s="8" t="inlineStr">
        <is>
          <t>Ministro de Estado</t>
        </is>
      </c>
      <c r="E16" s="8" t="inlineStr">
        <is>
          <t>Ernesto Fraga Araújo</t>
        </is>
      </c>
      <c r="F16" s="8" t="inlineStr">
        <is>
          <t>Casa Civil (Luiz Eduardo Ramos, SEGOV/SGPR)</t>
        </is>
      </c>
      <c r="G16" s="8" t="inlineStr">
        <is>
          <t>Audiência com o Ministro-Chefe da Secretaria de Governo, General Luiz Eduardo Ramos</t>
        </is>
      </c>
      <c r="H16" s="8" t="inlineStr">
        <is>
          <t>Palácio do Planalto</t>
        </is>
      </c>
      <c r="I16" s="8" t="inlineStr">
        <is>
          <t>Excluído — órgão fora do escopo</t>
        </is>
      </c>
      <c r="J16" s="8" t="inlineStr">
        <is>
          <t>Órgão não coberto pelo relatório (SEGOV, SGPR, AGU, CGU, BNDES, MGI, Gabinete da PR).</t>
        </is>
      </c>
      <c r="K16" s="8" t="inlineStr"/>
      <c r="L16" s="8" t="inlineStr"/>
      <c r="M16" s="8" t="inlineStr">
        <is>
          <t>https://www.gov.br/mre/pt-br/agendas/agendas-de-autoridades-anteriores/agenda-antiga-ernesto-fraga-araujo/2021-03-15</t>
        </is>
      </c>
    </row>
    <row r="17">
      <c r="A17" s="8" t="n">
        <v>16</v>
      </c>
      <c r="B17" s="9" t="n">
        <v>44291</v>
      </c>
      <c r="C17" s="8" t="inlineStr">
        <is>
          <t>17:00</t>
        </is>
      </c>
      <c r="D17" s="8" t="inlineStr">
        <is>
          <t>Secretário-Geral</t>
        </is>
      </c>
      <c r="E17" s="8" t="inlineStr">
        <is>
          <t>Otávio Brandelli</t>
        </is>
      </c>
      <c r="F17" s="8" t="inlineStr">
        <is>
          <t>Casa Civil</t>
        </is>
      </c>
      <c r="G17" s="8" t="inlineStr">
        <is>
          <t>Secretário-executivo da Secretaria de Governo da Presidência da República, Jônathas Assunção Salvador Nery de Castro</t>
        </is>
      </c>
      <c r="H17" s="8" t="inlineStr">
        <is>
          <t>Secretaria-Geral</t>
        </is>
      </c>
      <c r="I17" s="8" t="inlineStr">
        <is>
          <t>Excluído — órgão fora do escopo</t>
        </is>
      </c>
      <c r="J17" s="8" t="inlineStr">
        <is>
          <t>Órgão não coberto pelo relatório (SEGOV, SGPR, AGU, CGU, BNDES, MGI, Gabinete da PR).</t>
        </is>
      </c>
      <c r="K17" s="8" t="inlineStr"/>
      <c r="L17" s="8" t="inlineStr"/>
      <c r="M17" s="8" t="inlineStr">
        <is>
          <t>https://www.gov.br/mre/pt-br/agendas/agendas-de-autoridades-anteriores/agenda-antiga-otavio-brandelli/2021-04-05</t>
        </is>
      </c>
    </row>
    <row r="18">
      <c r="A18" s="8" t="n">
        <v>17</v>
      </c>
      <c r="B18" s="9" t="n">
        <v>44299</v>
      </c>
      <c r="C18" s="8" t="inlineStr">
        <is>
          <t>14:00</t>
        </is>
      </c>
      <c r="D18" s="8" t="inlineStr">
        <is>
          <t>Secretário-Geral</t>
        </is>
      </c>
      <c r="E18" s="8" t="inlineStr">
        <is>
          <t>Otávio Brandelli</t>
        </is>
      </c>
      <c r="F18" s="8" t="inlineStr">
        <is>
          <t>Casa Civil</t>
        </is>
      </c>
      <c r="G18" s="8" t="inlineStr">
        <is>
          <t>Reunião com o secretário-executivo adjunto da Casa Civil da Presidência da República, Thiago Meirelles</t>
        </is>
      </c>
      <c r="H18" s="8" t="inlineStr">
        <is>
          <t>Palácio do Planalto</t>
        </is>
      </c>
      <c r="I18" s="8" t="inlineStr">
        <is>
          <t>Mantido</t>
        </is>
      </c>
      <c r="J18" s="8" t="inlineStr">
        <is>
          <t>Interlocutor de órgão do escopo; título sem tema de política externa; composição aparentemente restrita.</t>
        </is>
      </c>
      <c r="K18" s="8" t="inlineStr"/>
      <c r="L18" s="8" t="n">
        <v>9</v>
      </c>
      <c r="M18" s="8" t="inlineStr">
        <is>
          <t>https://www.gov.br/mre/pt-br/agendas/agendas-de-autoridades-anteriores/agenda-antiga-otavio-brandelli/2021-04-13</t>
        </is>
      </c>
    </row>
    <row r="19">
      <c r="A19" s="8" t="n">
        <v>18</v>
      </c>
      <c r="B19" s="9" t="n">
        <v>44306</v>
      </c>
      <c r="C19" s="8" t="inlineStr">
        <is>
          <t>17:30</t>
        </is>
      </c>
      <c r="D19" s="8" t="inlineStr">
        <is>
          <t>Ministro de Estado</t>
        </is>
      </c>
      <c r="E19" s="8" t="inlineStr">
        <is>
          <t>Carlos Alberto Franco França</t>
        </is>
      </c>
      <c r="F19" s="8" t="inlineStr">
        <is>
          <t>Ministério da Economia</t>
        </is>
      </c>
      <c r="G19" s="8" t="inlineStr">
        <is>
          <t>Ministro de Estado da Economia, Paulo Guedes</t>
        </is>
      </c>
      <c r="H19" s="8" t="inlineStr">
        <is>
          <t>Ministério da Economia</t>
        </is>
      </c>
      <c r="I19" s="8" t="inlineStr">
        <is>
          <t>Mantido</t>
        </is>
      </c>
      <c r="J19" s="8" t="inlineStr">
        <is>
          <t>Interlocutor de órgão do escopo; título sem tema de política externa; composição aparentemente restrita.</t>
        </is>
      </c>
      <c r="K19" s="8" t="inlineStr"/>
      <c r="L19" s="8" t="n">
        <v>10</v>
      </c>
      <c r="M19" s="8" t="inlineStr">
        <is>
          <t>https://www.gov.br/mre/pt-br/agendas/agendas-de-autoridades-anteriores/agenda-antiga-carlos-alberto-franco-franca/2021-04-20</t>
        </is>
      </c>
    </row>
    <row r="20">
      <c r="A20" s="8" t="n">
        <v>19</v>
      </c>
      <c r="B20" s="9" t="n">
        <v>44308</v>
      </c>
      <c r="C20" s="8" t="inlineStr">
        <is>
          <t>12:30</t>
        </is>
      </c>
      <c r="D20" s="8" t="inlineStr">
        <is>
          <t>Ministro de Estado</t>
        </is>
      </c>
      <c r="E20" s="8" t="inlineStr">
        <is>
          <t>Carlos Alberto Franco França</t>
        </is>
      </c>
      <c r="F20" s="8" t="inlineStr">
        <is>
          <t>(outro)</t>
        </is>
      </c>
      <c r="G20" s="8" t="inlineStr">
        <is>
          <t>Almoço a ser oferecido ao Ministro de Estado Chefe da Secretaria Geral/PR, Onyx Lorenzoni, e à Ministra de Estado Chefe da Secretaria de Governo/PR, Flávia Arruda</t>
        </is>
      </c>
      <c r="H20" s="8" t="inlineStr">
        <is>
          <t>Sala Bahia, Palácio Itamaraty</t>
        </is>
      </c>
      <c r="I20" s="8" t="inlineStr">
        <is>
          <t>Excluído — órgão fora do escopo</t>
        </is>
      </c>
      <c r="J20" s="8" t="inlineStr">
        <is>
          <t>Órgão não coberto pelo relatório (SEGOV, SGPR, AGU, CGU, BNDES, MGI, Gabinete da PR).</t>
        </is>
      </c>
      <c r="K20" s="8" t="inlineStr">
        <is>
          <t>Almoço; porte não verificável (a agenda gov.br não lista participantes).</t>
        </is>
      </c>
      <c r="L20" s="8" t="inlineStr"/>
      <c r="M20" s="8" t="inlineStr">
        <is>
          <t>https://www.gov.br/mre/pt-br/agendas/agendas-de-autoridades-anteriores/agenda-antiga-carlos-alberto-franco-franca/2021-04-22</t>
        </is>
      </c>
    </row>
    <row r="21">
      <c r="A21" s="8" t="n">
        <v>20</v>
      </c>
      <c r="B21" s="9" t="n">
        <v>44319</v>
      </c>
      <c r="C21" s="8" t="inlineStr">
        <is>
          <t>13:00</t>
        </is>
      </c>
      <c r="D21" s="8" t="inlineStr">
        <is>
          <t>Ministro de Estado</t>
        </is>
      </c>
      <c r="E21" s="8" t="inlineStr">
        <is>
          <t>Carlos Alberto Franco França</t>
        </is>
      </c>
      <c r="F21" s="8" t="inlineStr">
        <is>
          <t>Casa Civil (Luiz Eduardo Ramos)</t>
        </is>
      </c>
      <c r="G21" s="8" t="inlineStr">
        <is>
          <t>Almoço oferecido ao Deputado Marcelo Ramos (PL-AM)</t>
        </is>
      </c>
      <c r="H21" s="8" t="inlineStr">
        <is>
          <t>Sala Bahia</t>
        </is>
      </c>
      <c r="I21" s="8" t="inlineStr">
        <is>
          <t>Excluído — falso positivo lexical</t>
        </is>
      </c>
      <c r="J21" s="8" t="inlineStr">
        <is>
          <t>Homônimo ou termo fora de contexto (Ramos; 'Planejamento Diplomático'; 'Fazenda da Esperança'; G20 'Economia e Saúde Global').</t>
        </is>
      </c>
      <c r="K21" s="8" t="inlineStr">
        <is>
          <t>Almoço; porte não verificável (a agenda gov.br não lista participantes).</t>
        </is>
      </c>
      <c r="L21" s="8" t="inlineStr"/>
      <c r="M21" s="8" t="inlineStr">
        <is>
          <t>https://www.gov.br/mre/pt-br/agendas/agendas-de-autoridades-anteriores/agenda-antiga-carlos-alberto-franco-franca/2021-05-03</t>
        </is>
      </c>
    </row>
    <row r="22">
      <c r="A22" s="8" t="n">
        <v>21</v>
      </c>
      <c r="B22" s="9" t="n">
        <v>44322</v>
      </c>
      <c r="C22" s="8" t="inlineStr">
        <is>
          <t>12:30</t>
        </is>
      </c>
      <c r="D22" s="8" t="inlineStr">
        <is>
          <t>Secretário-Geral</t>
        </is>
      </c>
      <c r="E22" s="8" t="inlineStr">
        <is>
          <t>Otávio Brandelli</t>
        </is>
      </c>
      <c r="F22" s="8" t="inlineStr">
        <is>
          <t>Casa Civil</t>
        </is>
      </c>
      <c r="G22" s="8" t="inlineStr">
        <is>
          <t>Secretário-Executivo da Casa Civil, senhor Jonathas Castro, e Diretor na Presidência do Senado Federal , senhor Alexandre Silveira</t>
        </is>
      </c>
      <c r="H22" s="8" t="inlineStr"/>
      <c r="I22" s="8" t="inlineStr">
        <is>
          <t>Mantido</t>
        </is>
      </c>
      <c r="J22" s="8" t="inlineStr">
        <is>
          <t>Interlocutor de órgão do escopo; título sem tema de política externa; composição aparentemente restrita.</t>
        </is>
      </c>
      <c r="K22" s="8" t="inlineStr">
        <is>
          <t>Também presente diretor da Presidência do Senado Federal.</t>
        </is>
      </c>
      <c r="L22" s="8" t="n">
        <v>11</v>
      </c>
      <c r="M22" s="8" t="inlineStr">
        <is>
          <t>https://www.gov.br/mre/pt-br/agendas/agendas-de-autoridades-anteriores/agenda-antiga-otavio-brandelli/2021-05-06</t>
        </is>
      </c>
    </row>
    <row r="23">
      <c r="A23" s="8" t="n">
        <v>22</v>
      </c>
      <c r="B23" s="9" t="n">
        <v>44327</v>
      </c>
      <c r="C23" s="8" t="inlineStr">
        <is>
          <t>17:00</t>
        </is>
      </c>
      <c r="D23" s="8" t="inlineStr">
        <is>
          <t>Secretário-Geral</t>
        </is>
      </c>
      <c r="E23" s="8" t="inlineStr">
        <is>
          <t>Otávio Brandelli</t>
        </is>
      </c>
      <c r="F23" s="8" t="inlineStr">
        <is>
          <t>Ministério da Economia</t>
        </is>
      </c>
      <c r="G23" s="8" t="inlineStr">
        <is>
          <t>Secretário-Executivo do Ministério da Economia, Marcelo Pacheco dos Guaranys</t>
        </is>
      </c>
      <c r="H23" s="8" t="inlineStr">
        <is>
          <t>Ministério da Economia</t>
        </is>
      </c>
      <c r="I23" s="8" t="inlineStr">
        <is>
          <t>Mantido</t>
        </is>
      </c>
      <c r="J23" s="8" t="inlineStr">
        <is>
          <t>Interlocutor de órgão do escopo; título sem tema de política externa; composição aparentemente restrita.</t>
        </is>
      </c>
      <c r="K23" s="8" t="inlineStr"/>
      <c r="L23" s="8" t="n">
        <v>12</v>
      </c>
      <c r="M23" s="8" t="inlineStr">
        <is>
          <t>https://www.gov.br/mre/pt-br/agendas/agendas-de-autoridades-anteriores/agenda-antiga-otavio-brandelli/2021-05-11</t>
        </is>
      </c>
    </row>
    <row r="24">
      <c r="A24" s="8" t="n">
        <v>23</v>
      </c>
      <c r="B24" s="9" t="n">
        <v>44334</v>
      </c>
      <c r="C24" s="8" t="inlineStr">
        <is>
          <t>15:00</t>
        </is>
      </c>
      <c r="D24" s="8" t="inlineStr">
        <is>
          <t>Ministro de Estado</t>
        </is>
      </c>
      <c r="E24" s="8" t="inlineStr">
        <is>
          <t>Carlos Alberto Franco França</t>
        </is>
      </c>
      <c r="F24" s="8" t="inlineStr">
        <is>
          <t>Casa Civil</t>
        </is>
      </c>
      <c r="G24" s="8" t="inlineStr">
        <is>
          <t>Senhor Luiz Eduardo Ramos, Ministro-Chefe da Casa Civil da Presidência da República</t>
        </is>
      </c>
      <c r="H24" s="8" t="inlineStr">
        <is>
          <t>Palácio do Planalto</t>
        </is>
      </c>
      <c r="I24" s="8" t="inlineStr">
        <is>
          <t>Mantido</t>
        </is>
      </c>
      <c r="J24" s="8" t="inlineStr">
        <is>
          <t>Interlocutor de órgão do escopo; título sem tema de política externa; composição aparentemente restrita.</t>
        </is>
      </c>
      <c r="K24" s="8" t="inlineStr">
        <is>
          <t>Ramos chefiou a Casa Civil de 29/03/2021 a 03/08/2021.</t>
        </is>
      </c>
      <c r="L24" s="8" t="n">
        <v>13</v>
      </c>
      <c r="M24" s="8" t="inlineStr">
        <is>
          <t>https://www.gov.br/mre/pt-br/agendas/agendas-de-autoridades-anteriores/agenda-antiga-carlos-alberto-franco-franca/2021-05-18</t>
        </is>
      </c>
    </row>
    <row r="25">
      <c r="A25" s="8" t="n">
        <v>24</v>
      </c>
      <c r="B25" s="9" t="n">
        <v>44334</v>
      </c>
      <c r="C25" s="8" t="inlineStr">
        <is>
          <t>16:00</t>
        </is>
      </c>
      <c r="D25" s="8" t="inlineStr">
        <is>
          <t>Secretário-Geral</t>
        </is>
      </c>
      <c r="E25" s="8" t="inlineStr">
        <is>
          <t>Otávio Brandelli</t>
        </is>
      </c>
      <c r="F25" s="8" t="inlineStr">
        <is>
          <t>(outro)</t>
        </is>
      </c>
      <c r="G25" s="8" t="inlineStr">
        <is>
          <t>Secretário-Geral de Consultoria da Advocacia-Geral da União, Fabrício Da Soller</t>
        </is>
      </c>
      <c r="H25" s="8" t="inlineStr">
        <is>
          <t>Advocacia-Geral da União</t>
        </is>
      </c>
      <c r="I25" s="8" t="inlineStr">
        <is>
          <t>Excluído — órgão fora do escopo</t>
        </is>
      </c>
      <c r="J25" s="8" t="inlineStr">
        <is>
          <t>Órgão não coberto pelo relatório (SEGOV, SGPR, AGU, CGU, BNDES, MGI, Gabinete da PR).</t>
        </is>
      </c>
      <c r="K25" s="8" t="inlineStr"/>
      <c r="L25" s="8" t="inlineStr"/>
      <c r="M25" s="8" t="inlineStr">
        <is>
          <t>https://www.gov.br/mre/pt-br/agendas/agendas-de-autoridades-anteriores/agenda-antiga-otavio-brandelli/2021-05-18</t>
        </is>
      </c>
    </row>
    <row r="26">
      <c r="A26" s="8" t="n">
        <v>25</v>
      </c>
      <c r="B26" s="9" t="n">
        <v>44334</v>
      </c>
      <c r="C26" s="8" t="inlineStr">
        <is>
          <t>17:30</t>
        </is>
      </c>
      <c r="D26" s="8" t="inlineStr">
        <is>
          <t>Secretário-Geral</t>
        </is>
      </c>
      <c r="E26" s="8" t="inlineStr">
        <is>
          <t>Otávio Brandelli</t>
        </is>
      </c>
      <c r="F26" s="8" t="inlineStr">
        <is>
          <t>(outro)</t>
        </is>
      </c>
      <c r="G26" s="8" t="inlineStr">
        <is>
          <t>Secretário-Executivo da Controladoria-Geral da União, José Marcelo Castro de Carvalho</t>
        </is>
      </c>
      <c r="H26" s="8" t="inlineStr">
        <is>
          <t>Controladoria-Geral da União</t>
        </is>
      </c>
      <c r="I26" s="8" t="inlineStr">
        <is>
          <t>Excluído — órgão fora do escopo</t>
        </is>
      </c>
      <c r="J26" s="8" t="inlineStr">
        <is>
          <t>Órgão não coberto pelo relatório (SEGOV, SGPR, AGU, CGU, BNDES, MGI, Gabinete da PR).</t>
        </is>
      </c>
      <c r="K26" s="8" t="inlineStr"/>
      <c r="L26" s="8" t="inlineStr"/>
      <c r="M26" s="8" t="inlineStr">
        <is>
          <t>https://www.gov.br/mre/pt-br/agendas/agendas-de-autoridades-anteriores/agenda-antiga-otavio-brandelli/2021-05-18</t>
        </is>
      </c>
    </row>
    <row r="27">
      <c r="A27" s="8" t="n">
        <v>26</v>
      </c>
      <c r="B27" s="9" t="n">
        <v>44335</v>
      </c>
      <c r="C27" s="8" t="inlineStr">
        <is>
          <t>13:00</t>
        </is>
      </c>
      <c r="D27" s="8" t="inlineStr">
        <is>
          <t>Ministro de Estado</t>
        </is>
      </c>
      <c r="E27" s="8" t="inlineStr">
        <is>
          <t>Carlos Alberto Franco França</t>
        </is>
      </c>
      <c r="F27" s="8" t="inlineStr">
        <is>
          <t>Casa Civil (Luiz Eduardo Ramos)</t>
        </is>
      </c>
      <c r="G27" s="8" t="inlineStr">
        <is>
          <t>Almoço oferecido pelo Embaixador Luís Faro Ramos, Embaixador da República Portuguesa</t>
        </is>
      </c>
      <c r="H27" s="8" t="inlineStr">
        <is>
          <t>Residência Oficial de Portugal</t>
        </is>
      </c>
      <c r="I27" s="8" t="inlineStr">
        <is>
          <t>Excluído — falso positivo lexical</t>
        </is>
      </c>
      <c r="J27" s="8" t="inlineStr">
        <is>
          <t>Homônimo ou termo fora de contexto (Ramos; 'Planejamento Diplomático'; 'Fazenda da Esperança'; G20 'Economia e Saúde Global').</t>
        </is>
      </c>
      <c r="K27" s="8" t="inlineStr">
        <is>
          <t>Almoço; porte não verificável (a agenda gov.br não lista participantes).</t>
        </is>
      </c>
      <c r="L27" s="8" t="inlineStr"/>
      <c r="M27" s="8" t="inlineStr">
        <is>
          <t>https://www.gov.br/mre/pt-br/agendas/agendas-de-autoridades-anteriores/agenda-antiga-carlos-alberto-franco-franca/2021-05-19</t>
        </is>
      </c>
    </row>
    <row r="28">
      <c r="A28" s="8" t="n">
        <v>27</v>
      </c>
      <c r="B28" s="9" t="n">
        <v>44337</v>
      </c>
      <c r="C28" s="8" t="inlineStr">
        <is>
          <t>11:00</t>
        </is>
      </c>
      <c r="D28" s="8" t="inlineStr">
        <is>
          <t>Secretário-Geral</t>
        </is>
      </c>
      <c r="E28" s="8" t="inlineStr">
        <is>
          <t>Otávio Brandelli</t>
        </is>
      </c>
      <c r="F28" s="8" t="inlineStr">
        <is>
          <t>Casa Civil (Luiz Eduardo Ramos)</t>
        </is>
      </c>
      <c r="G28" s="8" t="inlineStr">
        <is>
          <t>Chefe da Divisão de Direitos Humanos, Ministro Marcelo Ramos Araújo</t>
        </is>
      </c>
      <c r="H28" s="8" t="inlineStr">
        <is>
          <t>Videoconferência</t>
        </is>
      </c>
      <c r="I28" s="8" t="inlineStr">
        <is>
          <t>Excluído — falso positivo lexical</t>
        </is>
      </c>
      <c r="J28" s="8" t="inlineStr">
        <is>
          <t>Homônimo ou termo fora de contexto (Ramos; 'Planejamento Diplomático'; 'Fazenda da Esperança'; G20 'Economia e Saúde Global').</t>
        </is>
      </c>
      <c r="K28" s="8" t="inlineStr">
        <is>
          <t>Videoconferência.</t>
        </is>
      </c>
      <c r="L28" s="8" t="inlineStr"/>
      <c r="M28" s="8" t="inlineStr">
        <is>
          <t>https://www.gov.br/mre/pt-br/agendas/agendas-de-autoridades-anteriores/agenda-antiga-otavio-brandelli/2021-05-21</t>
        </is>
      </c>
    </row>
    <row r="29">
      <c r="A29" s="8" t="n">
        <v>28</v>
      </c>
      <c r="B29" s="9" t="n">
        <v>44343</v>
      </c>
      <c r="C29" s="8" t="inlineStr">
        <is>
          <t>10:00</t>
        </is>
      </c>
      <c r="D29" s="8" t="inlineStr">
        <is>
          <t>Secretário-Geral</t>
        </is>
      </c>
      <c r="E29" s="8" t="inlineStr">
        <is>
          <t>Otávio Brandelli</t>
        </is>
      </c>
      <c r="F29" s="8" t="inlineStr">
        <is>
          <t>Casa Civil</t>
        </is>
      </c>
      <c r="G29" s="8" t="inlineStr">
        <is>
          <t>Secretário-Executivo da Casa Civil da Presidência da República, Jônathas Assunção Salvador Nery de Castro</t>
        </is>
      </c>
      <c r="H29" s="8" t="inlineStr">
        <is>
          <t>Palácio do Planalto</t>
        </is>
      </c>
      <c r="I29" s="8" t="inlineStr">
        <is>
          <t>Mantido</t>
        </is>
      </c>
      <c r="J29" s="8" t="inlineStr">
        <is>
          <t>Interlocutor de órgão do escopo; título sem tema de política externa; composição aparentemente restrita.</t>
        </is>
      </c>
      <c r="K29" s="8" t="inlineStr"/>
      <c r="L29" s="8" t="n">
        <v>14</v>
      </c>
      <c r="M29" s="8" t="inlineStr">
        <is>
          <t>https://www.gov.br/mre/pt-br/agendas/agendas-de-autoridades-anteriores/agenda-antiga-otavio-brandelli/2021-05-27</t>
        </is>
      </c>
    </row>
    <row r="30">
      <c r="A30" s="8" t="n">
        <v>29</v>
      </c>
      <c r="B30" s="9" t="n">
        <v>44344</v>
      </c>
      <c r="C30" s="8" t="inlineStr">
        <is>
          <t>08:00</t>
        </is>
      </c>
      <c r="D30" s="8" t="inlineStr">
        <is>
          <t>Secretário-Geral</t>
        </is>
      </c>
      <c r="E30" s="8" t="inlineStr">
        <is>
          <t>Otávio Brandelli</t>
        </is>
      </c>
      <c r="F30" s="8" t="inlineStr">
        <is>
          <t>Casa Civil</t>
        </is>
      </c>
      <c r="G30" s="8" t="inlineStr">
        <is>
          <t>Secretário-Executivo da Casa Civil da Presidência da República, Jônathas Assunção Salvador Nery de Castro</t>
        </is>
      </c>
      <c r="H30" s="8" t="inlineStr">
        <is>
          <t>Escola Nacional de Administração Pública - ENAP</t>
        </is>
      </c>
      <c r="I30" s="8" t="inlineStr">
        <is>
          <t>Mantido</t>
        </is>
      </c>
      <c r="J30" s="8" t="inlineStr">
        <is>
          <t>Interlocutor de órgão do escopo; título sem tema de política externa; composição aparentemente restrita.</t>
        </is>
      </c>
      <c r="K30" s="8" t="inlineStr">
        <is>
          <t>Local (ENAP) sugere evento; porte não verificável.</t>
        </is>
      </c>
      <c r="L30" s="8" t="n">
        <v>15</v>
      </c>
      <c r="M30" s="8" t="inlineStr">
        <is>
          <t>https://www.gov.br/mre/pt-br/agendas/agendas-de-autoridades-anteriores/agenda-antiga-otavio-brandelli/2021-05-28</t>
        </is>
      </c>
    </row>
    <row r="31">
      <c r="A31" s="8" t="n">
        <v>30</v>
      </c>
      <c r="B31" s="9" t="n">
        <v>44355</v>
      </c>
      <c r="C31" s="8" t="inlineStr">
        <is>
          <t>14:30</t>
        </is>
      </c>
      <c r="D31" s="8" t="inlineStr">
        <is>
          <t>Ministro de Estado</t>
        </is>
      </c>
      <c r="E31" s="8" t="inlineStr">
        <is>
          <t>Carlos Alberto Franco França</t>
        </is>
      </c>
      <c r="F31" s="8" t="inlineStr">
        <is>
          <t>Casa Civil</t>
        </is>
      </c>
      <c r="G31" s="8" t="inlineStr">
        <is>
          <t>Ministro-Chefe da Casa Civil da Presidência da República, Luiz Eduardo Ramos</t>
        </is>
      </c>
      <c r="H31" s="8" t="inlineStr">
        <is>
          <t>Palácio do Planalto</t>
        </is>
      </c>
      <c r="I31" s="8" t="inlineStr">
        <is>
          <t>Mantido</t>
        </is>
      </c>
      <c r="J31" s="8" t="inlineStr">
        <is>
          <t>Interlocutor de órgão do escopo; título sem tema de política externa; composição aparentemente restrita.</t>
        </is>
      </c>
      <c r="K31" s="8" t="inlineStr">
        <is>
          <t>Ramos chefiou a Casa Civil de 29/03/2021 a 03/08/2021.</t>
        </is>
      </c>
      <c r="L31" s="8" t="n">
        <v>16</v>
      </c>
      <c r="M31" s="8" t="inlineStr">
        <is>
          <t>https://www.gov.br/mre/pt-br/agendas/agendas-de-autoridades-anteriores/agenda-antiga-carlos-alberto-franco-franca/2021-06-08</t>
        </is>
      </c>
    </row>
    <row r="32">
      <c r="A32" s="8" t="n">
        <v>31</v>
      </c>
      <c r="B32" s="9" t="n">
        <v>44356</v>
      </c>
      <c r="C32" s="8" t="inlineStr">
        <is>
          <t>15:00</t>
        </is>
      </c>
      <c r="D32" s="8" t="inlineStr">
        <is>
          <t>Ministro de Estado</t>
        </is>
      </c>
      <c r="E32" s="8" t="inlineStr">
        <is>
          <t>Carlos Alberto Franco França</t>
        </is>
      </c>
      <c r="F32" s="8" t="inlineStr">
        <is>
          <t>Ministério da Economia</t>
        </is>
      </c>
      <c r="G32" s="8" t="inlineStr">
        <is>
          <t>Ministro de Estado da Economia, Paulo Guedes</t>
        </is>
      </c>
      <c r="H32" s="8" t="inlineStr">
        <is>
          <t>Ministério da Economia, Bloco P</t>
        </is>
      </c>
      <c r="I32" s="8" t="inlineStr">
        <is>
          <t>Mantido</t>
        </is>
      </c>
      <c r="J32" s="8" t="inlineStr">
        <is>
          <t>Interlocutor de órgão do escopo; título sem tema de política externa; composição aparentemente restrita.</t>
        </is>
      </c>
      <c r="K32" s="8" t="inlineStr"/>
      <c r="L32" s="8" t="n">
        <v>17</v>
      </c>
      <c r="M32" s="8" t="inlineStr">
        <is>
          <t>https://www.gov.br/mre/pt-br/agendas/agendas-de-autoridades-anteriores/agenda-antiga-carlos-alberto-franco-franca/2021-06-09</t>
        </is>
      </c>
    </row>
    <row r="33">
      <c r="A33" s="8" t="n">
        <v>32</v>
      </c>
      <c r="B33" s="9" t="n">
        <v>44356</v>
      </c>
      <c r="C33" s="8" t="inlineStr">
        <is>
          <t>15:00</t>
        </is>
      </c>
      <c r="D33" s="8" t="inlineStr">
        <is>
          <t>Secretário-Geral</t>
        </is>
      </c>
      <c r="E33" s="8" t="inlineStr">
        <is>
          <t>Fernando Simas Magalhães</t>
        </is>
      </c>
      <c r="F33" s="8" t="inlineStr">
        <is>
          <t>Ministério da Economia</t>
        </is>
      </c>
      <c r="G33" s="8" t="inlineStr">
        <is>
          <t>Acompanha o Ministro das Relações Exteriores em reunião com o Ministro de Estado da Economia, Paulo Guedes</t>
        </is>
      </c>
      <c r="H33" s="8" t="inlineStr">
        <is>
          <t>Gabinete do Ministro</t>
        </is>
      </c>
      <c r="I33" s="8" t="inlineStr">
        <is>
          <t>Mantido</t>
        </is>
      </c>
      <c r="J33" s="8" t="inlineStr">
        <is>
          <t>Interlocutor de órgão do escopo; título sem tema de política externa; composição aparentemente restrita.</t>
        </is>
      </c>
      <c r="K33" s="8" t="inlineStr">
        <is>
          <t>Registro da Secretaria-Geral do mesmo evento da agenda do Ministro de Estado.</t>
        </is>
      </c>
      <c r="L33" s="8" t="n">
        <v>17</v>
      </c>
      <c r="M33" s="8" t="inlineStr">
        <is>
          <t>https://www.gov.br/mre/pt-br/agendas/agendas-de-autoridades-anteriores/agenda-antiga-fernando-simas-magalhaes/2021-06-09</t>
        </is>
      </c>
    </row>
    <row r="34">
      <c r="A34" s="8" t="n">
        <v>33</v>
      </c>
      <c r="B34" s="9" t="n">
        <v>44357</v>
      </c>
      <c r="C34" s="8" t="inlineStr">
        <is>
          <t>17:00</t>
        </is>
      </c>
      <c r="D34" s="8" t="inlineStr">
        <is>
          <t>Ministro de Estado</t>
        </is>
      </c>
      <c r="E34" s="8" t="inlineStr">
        <is>
          <t>Carlos Alberto Franco França</t>
        </is>
      </c>
      <c r="F34" s="8" t="inlineStr">
        <is>
          <t>Casa Civil</t>
        </is>
      </c>
      <c r="G34" s="8" t="inlineStr">
        <is>
          <t>Ministro-Chefe da Casa Civil da Presidência da República, Luiz Eduardo Ramos</t>
        </is>
      </c>
      <c r="H34" s="8" t="inlineStr">
        <is>
          <t>Palácio do Planalto</t>
        </is>
      </c>
      <c r="I34" s="8" t="inlineStr">
        <is>
          <t>Mantido</t>
        </is>
      </c>
      <c r="J34" s="8" t="inlineStr">
        <is>
          <t>Interlocutor de órgão do escopo; título sem tema de política externa; composição aparentemente restrita.</t>
        </is>
      </c>
      <c r="K34" s="8" t="inlineStr">
        <is>
          <t>Ramos chefiou a Casa Civil de 29/03/2021 a 03/08/2021.</t>
        </is>
      </c>
      <c r="L34" s="8" t="n">
        <v>18</v>
      </c>
      <c r="M34" s="8" t="inlineStr">
        <is>
          <t>https://www.gov.br/mre/pt-br/agendas/agendas-de-autoridades-anteriores/agenda-antiga-carlos-alberto-franco-franca/2021-06-10</t>
        </is>
      </c>
    </row>
    <row r="35">
      <c r="A35" s="8" t="n">
        <v>34</v>
      </c>
      <c r="B35" s="9" t="n">
        <v>44358</v>
      </c>
      <c r="C35" s="8" t="inlineStr">
        <is>
          <t>10:00</t>
        </is>
      </c>
      <c r="D35" s="8" t="inlineStr">
        <is>
          <t>Ministro de Estado</t>
        </is>
      </c>
      <c r="E35" s="8" t="inlineStr">
        <is>
          <t>Carlos Alberto Franco França</t>
        </is>
      </c>
      <c r="F35" s="8" t="inlineStr">
        <is>
          <t>Ministério da Economia</t>
        </is>
      </c>
      <c r="G35" s="8" t="inlineStr">
        <is>
          <t>Senhor Paulo Guedes, Ministro de Estado da Economia</t>
        </is>
      </c>
      <c r="H35" s="8" t="inlineStr">
        <is>
          <t>Ministério da Economia, Bloco P</t>
        </is>
      </c>
      <c r="I35" s="8" t="inlineStr">
        <is>
          <t>Mantido</t>
        </is>
      </c>
      <c r="J35" s="8" t="inlineStr">
        <is>
          <t>Interlocutor de órgão do escopo; título sem tema de política externa; composição aparentemente restrita.</t>
        </is>
      </c>
      <c r="K35" s="8" t="inlineStr"/>
      <c r="L35" s="8" t="n">
        <v>19</v>
      </c>
      <c r="M35" s="8" t="inlineStr">
        <is>
          <t>https://www.gov.br/mre/pt-br/agendas/agendas-de-autoridades-anteriores/agenda-antiga-carlos-alberto-franco-franca/2021-06-11</t>
        </is>
      </c>
    </row>
    <row r="36">
      <c r="A36" s="8" t="n">
        <v>35</v>
      </c>
      <c r="B36" s="9" t="n">
        <v>44364</v>
      </c>
      <c r="C36" s="8" t="inlineStr">
        <is>
          <t>18:30</t>
        </is>
      </c>
      <c r="D36" s="8" t="inlineStr">
        <is>
          <t>Ministro de Estado</t>
        </is>
      </c>
      <c r="E36" s="8" t="inlineStr">
        <is>
          <t>Carlos Alberto Franco França</t>
        </is>
      </c>
      <c r="F36" s="8" t="inlineStr">
        <is>
          <t>Ministério da Economia</t>
        </is>
      </c>
      <c r="G36" s="8" t="inlineStr">
        <is>
          <t>Senhor Paulo Guedes, Ministro de Estado da Economia</t>
        </is>
      </c>
      <c r="H36" s="8" t="inlineStr">
        <is>
          <t>Ministério da Economia, Esplanada dos Ministérios, Bloco P, 5º Andar</t>
        </is>
      </c>
      <c r="I36" s="8" t="inlineStr">
        <is>
          <t>Mantido</t>
        </is>
      </c>
      <c r="J36" s="8" t="inlineStr">
        <is>
          <t>Interlocutor de órgão do escopo; título sem tema de política externa; composição aparentemente restrita.</t>
        </is>
      </c>
      <c r="K36" s="8" t="inlineStr"/>
      <c r="L36" s="8" t="n">
        <v>20</v>
      </c>
      <c r="M36" s="8" t="inlineStr">
        <is>
          <t>https://www.gov.br/mre/pt-br/agendas/agendas-de-autoridades-anteriores/agenda-antiga-carlos-alberto-franco-franca/2021-06-17</t>
        </is>
      </c>
    </row>
    <row r="37">
      <c r="A37" s="8" t="n">
        <v>36</v>
      </c>
      <c r="B37" s="9" t="n">
        <v>44364</v>
      </c>
      <c r="C37" s="8" t="inlineStr">
        <is>
          <t>18:30</t>
        </is>
      </c>
      <c r="D37" s="8" t="inlineStr">
        <is>
          <t>Secretário-Geral</t>
        </is>
      </c>
      <c r="E37" s="8" t="inlineStr">
        <is>
          <t>Fernando Simas Magalhães</t>
        </is>
      </c>
      <c r="F37" s="8" t="inlineStr">
        <is>
          <t>Ministério da Economia</t>
        </is>
      </c>
      <c r="G37" s="8" t="inlineStr">
        <is>
          <t>Acompanha o Ministro das Relações Exteriores em videoconferência com o Ministro de Estado da Economia, Paulo Guedes</t>
        </is>
      </c>
      <c r="H37" s="8" t="inlineStr">
        <is>
          <t>Ministério da Economia</t>
        </is>
      </c>
      <c r="I37" s="8" t="inlineStr">
        <is>
          <t>Mantido</t>
        </is>
      </c>
      <c r="J37" s="8" t="inlineStr">
        <is>
          <t>Interlocutor de órgão do escopo; título sem tema de política externa; composição aparentemente restrita.</t>
        </is>
      </c>
      <c r="K37" s="8" t="inlineStr">
        <is>
          <t>Registro da Secretaria-Geral do mesmo evento da agenda do Ministro de Estado. Videoconferência.</t>
        </is>
      </c>
      <c r="L37" s="8" t="n">
        <v>20</v>
      </c>
      <c r="M37" s="8" t="inlineStr">
        <is>
          <t>https://www.gov.br/mre/pt-br/agendas/agendas-de-autoridades-anteriores/agenda-antiga-fernando-simas-magalhaes/2021-06-17</t>
        </is>
      </c>
    </row>
    <row r="38">
      <c r="A38" s="8" t="n">
        <v>37</v>
      </c>
      <c r="B38" s="9" t="n">
        <v>44368</v>
      </c>
      <c r="C38" s="8" t="inlineStr">
        <is>
          <t>11:30</t>
        </is>
      </c>
      <c r="D38" s="8" t="inlineStr">
        <is>
          <t>Ministro de Estado</t>
        </is>
      </c>
      <c r="E38" s="8" t="inlineStr">
        <is>
          <t>Carlos Alberto Franco França</t>
        </is>
      </c>
      <c r="F38" s="8" t="inlineStr">
        <is>
          <t>Casa Civil</t>
        </is>
      </c>
      <c r="G38" s="8" t="inlineStr">
        <is>
          <t>Senhor Jônathas Assunção de Castro, Secretário-Executivo da Casa Civil da Presidência da República</t>
        </is>
      </c>
      <c r="H38" s="8" t="inlineStr">
        <is>
          <t>Palácio do Planalto, 4º andar, sala 418</t>
        </is>
      </c>
      <c r="I38" s="8" t="inlineStr">
        <is>
          <t>Mantido</t>
        </is>
      </c>
      <c r="J38" s="8" t="inlineStr">
        <is>
          <t>Interlocutor de órgão do escopo; título sem tema de política externa; composição aparentemente restrita.</t>
        </is>
      </c>
      <c r="K38" s="8" t="inlineStr"/>
      <c r="L38" s="8" t="n">
        <v>21</v>
      </c>
      <c r="M38" s="8" t="inlineStr">
        <is>
          <t>https://www.gov.br/mre/pt-br/agendas/agendas-de-autoridades-anteriores/agenda-antiga-carlos-alberto-franco-franca/2021-06-21</t>
        </is>
      </c>
    </row>
    <row r="39">
      <c r="A39" s="8" t="n">
        <v>38</v>
      </c>
      <c r="B39" s="9" t="n">
        <v>44368</v>
      </c>
      <c r="C39" s="8" t="inlineStr">
        <is>
          <t>11:30</t>
        </is>
      </c>
      <c r="D39" s="8" t="inlineStr">
        <is>
          <t>Secretário-Geral</t>
        </is>
      </c>
      <c r="E39" s="8" t="inlineStr">
        <is>
          <t>Fernando Simas Magalhães</t>
        </is>
      </c>
      <c r="F39" s="8" t="inlineStr">
        <is>
          <t>Casa Civil</t>
        </is>
      </c>
      <c r="G39" s="8" t="inlineStr">
        <is>
          <t>Acompanha o Ministro das Relações Exteriores em reunião com o Senhor Jônathas Assunção de Castro, Secretário-Executivo da Casa Civil da Presidência da República</t>
        </is>
      </c>
      <c r="H39" s="8" t="inlineStr">
        <is>
          <t>Palácio do Planalto, 4º andar, sala 418</t>
        </is>
      </c>
      <c r="I39" s="8" t="inlineStr">
        <is>
          <t>Mantido</t>
        </is>
      </c>
      <c r="J39" s="8" t="inlineStr">
        <is>
          <t>Interlocutor de órgão do escopo; título sem tema de política externa; composição aparentemente restrita.</t>
        </is>
      </c>
      <c r="K39" s="8" t="inlineStr">
        <is>
          <t>Registro da Secretaria-Geral do mesmo evento da agenda do Ministro de Estado.</t>
        </is>
      </c>
      <c r="L39" s="8" t="n">
        <v>21</v>
      </c>
      <c r="M39" s="8" t="inlineStr">
        <is>
          <t>https://www.gov.br/mre/pt-br/agendas/agendas-de-autoridades-anteriores/agenda-antiga-fernando-simas-magalhaes/2021-06-21</t>
        </is>
      </c>
    </row>
    <row r="40">
      <c r="A40" s="8" t="n">
        <v>39</v>
      </c>
      <c r="B40" s="9" t="n">
        <v>44369</v>
      </c>
      <c r="C40" s="8" t="inlineStr">
        <is>
          <t>09:30</t>
        </is>
      </c>
      <c r="D40" s="8" t="inlineStr">
        <is>
          <t>Ministro de Estado</t>
        </is>
      </c>
      <c r="E40" s="8" t="inlineStr">
        <is>
          <t>Carlos Alberto Franco França</t>
        </is>
      </c>
      <c r="F40" s="8" t="inlineStr">
        <is>
          <t>Ministério da Economia — Secretaria de Orçamento Federal</t>
        </is>
      </c>
      <c r="G40" s="8" t="inlineStr">
        <is>
          <t>Senhor Marcelo Pacheco dos Guaranys, Secretário- Executivo do Ministério da Economia, e Senhor Ariosto Antunes Culau, Secretário de Orçamento Federal do Ministério da Economia</t>
        </is>
      </c>
      <c r="H40" s="8" t="inlineStr">
        <is>
          <t>Gabinete</t>
        </is>
      </c>
      <c r="I40" s="8" t="inlineStr">
        <is>
          <t>Mantido</t>
        </is>
      </c>
      <c r="J40" s="8" t="inlineStr">
        <is>
          <t>Interlocutor de órgão do escopo; título sem tema de política externa; composição aparentemente restrita.</t>
        </is>
      </c>
      <c r="K40" s="8" t="inlineStr"/>
      <c r="L40" s="8" t="n">
        <v>22</v>
      </c>
      <c r="M40" s="8" t="inlineStr">
        <is>
          <t>https://www.gov.br/mre/pt-br/agendas/agendas-de-autoridades-anteriores/agenda-antiga-carlos-alberto-franco-franca/2021-06-22</t>
        </is>
      </c>
    </row>
    <row r="41">
      <c r="A41" s="8" t="n">
        <v>40</v>
      </c>
      <c r="B41" s="9" t="n">
        <v>44369</v>
      </c>
      <c r="C41" s="8" t="inlineStr">
        <is>
          <t>09:30</t>
        </is>
      </c>
      <c r="D41" s="8" t="inlineStr">
        <is>
          <t>Secretário-Geral</t>
        </is>
      </c>
      <c r="E41" s="8" t="inlineStr">
        <is>
          <t>Fernando Simas Magalhães</t>
        </is>
      </c>
      <c r="F41" s="8" t="inlineStr">
        <is>
          <t>Ministério da Economia — Secretaria de Orçamento Federal</t>
        </is>
      </c>
      <c r="G41" s="8" t="inlineStr">
        <is>
          <t>Acompanha o Ministro das Relações Exteriores em reunião com o Senhor Marcelo Pacheco dos Guaranys, Secretário-Executivo do Ministério da Economia e Senhor Ariosto Antunes Culau, Secretário de Orçamento Federal do Ministério da Economia</t>
        </is>
      </c>
      <c r="H41" s="8" t="inlineStr">
        <is>
          <t>Gabinete do Ministro</t>
        </is>
      </c>
      <c r="I41" s="8" t="inlineStr">
        <is>
          <t>Mantido</t>
        </is>
      </c>
      <c r="J41" s="8" t="inlineStr">
        <is>
          <t>Interlocutor de órgão do escopo; título sem tema de política externa; composição aparentemente restrita.</t>
        </is>
      </c>
      <c r="K41" s="8" t="inlineStr">
        <is>
          <t>Registro da Secretaria-Geral do mesmo evento da agenda do Ministro de Estado.</t>
        </is>
      </c>
      <c r="L41" s="8" t="n">
        <v>22</v>
      </c>
      <c r="M41" s="8" t="inlineStr">
        <is>
          <t>https://www.gov.br/mre/pt-br/agendas/agendas-de-autoridades-anteriores/agenda-antiga-fernando-simas-magalhaes/2021-06-22</t>
        </is>
      </c>
    </row>
    <row r="42">
      <c r="A42" s="8" t="n">
        <v>41</v>
      </c>
      <c r="B42" s="9" t="n">
        <v>44383</v>
      </c>
      <c r="C42" s="8" t="inlineStr">
        <is>
          <t>15:30</t>
        </is>
      </c>
      <c r="D42" s="8" t="inlineStr">
        <is>
          <t>Secretário-Geral</t>
        </is>
      </c>
      <c r="E42" s="8" t="inlineStr">
        <is>
          <t>Fernando Simas Magalhães</t>
        </is>
      </c>
      <c r="F42" s="8" t="inlineStr">
        <is>
          <t>Casa Civil (Luiz Eduardo Ramos)</t>
        </is>
      </c>
      <c r="G42" s="8" t="inlineStr">
        <is>
          <t>Embaixador de Portugal no Brasil, Luis Faro Ramos</t>
        </is>
      </c>
      <c r="H42" s="8" t="inlineStr">
        <is>
          <t>Secretaria-Geral</t>
        </is>
      </c>
      <c r="I42" s="8" t="inlineStr">
        <is>
          <t>Excluído — falso positivo lexical</t>
        </is>
      </c>
      <c r="J42" s="8" t="inlineStr">
        <is>
          <t>Homônimo ou termo fora de contexto (Ramos; 'Planejamento Diplomático'; 'Fazenda da Esperança'; G20 'Economia e Saúde Global').</t>
        </is>
      </c>
      <c r="K42" s="8" t="inlineStr"/>
      <c r="L42" s="8" t="inlineStr"/>
      <c r="M42" s="8" t="inlineStr">
        <is>
          <t>https://www.gov.br/mre/pt-br/agendas/agendas-de-autoridades-anteriores/agenda-antiga-fernando-simas-magalhaes/2021-07-06</t>
        </is>
      </c>
    </row>
    <row r="43">
      <c r="A43" s="8" t="n">
        <v>42</v>
      </c>
      <c r="B43" s="9" t="n">
        <v>44389</v>
      </c>
      <c r="C43" s="8" t="inlineStr">
        <is>
          <t>12:00</t>
        </is>
      </c>
      <c r="D43" s="8" t="inlineStr">
        <is>
          <t>Ministro de Estado</t>
        </is>
      </c>
      <c r="E43" s="8" t="inlineStr">
        <is>
          <t>Carlos Alberto Franco França</t>
        </is>
      </c>
      <c r="F43" s="8" t="inlineStr">
        <is>
          <t>Ministério da Economia</t>
        </is>
      </c>
      <c r="G43" s="8" t="inlineStr">
        <is>
          <t>Senhor Paulo Guedes, Ministro de Estado do Economia</t>
        </is>
      </c>
      <c r="H43" s="8" t="inlineStr">
        <is>
          <t>Ministério da Economia, Bloco P</t>
        </is>
      </c>
      <c r="I43" s="8" t="inlineStr">
        <is>
          <t>Mantido</t>
        </is>
      </c>
      <c r="J43" s="8" t="inlineStr">
        <is>
          <t>Interlocutor de órgão do escopo; título sem tema de política externa; composição aparentemente restrita.</t>
        </is>
      </c>
      <c r="K43" s="8" t="inlineStr"/>
      <c r="L43" s="8" t="n">
        <v>23</v>
      </c>
      <c r="M43" s="8" t="inlineStr">
        <is>
          <t>https://www.gov.br/mre/pt-br/agendas/agendas-de-autoridades-anteriores/agenda-antiga-carlos-alberto-franco-franca/2021-07-12</t>
        </is>
      </c>
    </row>
    <row r="44">
      <c r="A44" s="8" t="n">
        <v>43</v>
      </c>
      <c r="B44" s="9" t="n">
        <v>44389</v>
      </c>
      <c r="C44" s="8" t="inlineStr">
        <is>
          <t>14:30</t>
        </is>
      </c>
      <c r="D44" s="8" t="inlineStr">
        <is>
          <t>Ministro de Estado</t>
        </is>
      </c>
      <c r="E44" s="8" t="inlineStr">
        <is>
          <t>Carlos Alberto Franco França</t>
        </is>
      </c>
      <c r="F44" s="8" t="inlineStr">
        <is>
          <t>(outro)</t>
        </is>
      </c>
      <c r="G44" s="8" t="inlineStr">
        <is>
          <t>Doutor Célio Faria. Chefe do Gabinete da Presidência da República</t>
        </is>
      </c>
      <c r="H44" s="8" t="inlineStr">
        <is>
          <t>Palário do Planalto, 2o. andar</t>
        </is>
      </c>
      <c r="I44" s="8" t="inlineStr">
        <is>
          <t>Excluído — órgão fora do escopo</t>
        </is>
      </c>
      <c r="J44" s="8" t="inlineStr">
        <is>
          <t>Órgão não coberto pelo relatório (SEGOV, SGPR, AGU, CGU, BNDES, MGI, Gabinete da PR).</t>
        </is>
      </c>
      <c r="K44" s="8" t="inlineStr"/>
      <c r="L44" s="8" t="inlineStr"/>
      <c r="M44" s="8" t="inlineStr">
        <is>
          <t>https://www.gov.br/mre/pt-br/agendas/agendas-de-autoridades-anteriores/agenda-antiga-carlos-alberto-franco-franca/2021-07-12</t>
        </is>
      </c>
    </row>
    <row r="45">
      <c r="A45" s="8" t="n">
        <v>44</v>
      </c>
      <c r="B45" s="9" t="n">
        <v>44391</v>
      </c>
      <c r="C45" s="8" t="inlineStr">
        <is>
          <t>15:30</t>
        </is>
      </c>
      <c r="D45" s="8" t="inlineStr">
        <is>
          <t>Secretário-Geral</t>
        </is>
      </c>
      <c r="E45" s="8" t="inlineStr">
        <is>
          <t>Fernando Simas Magalhães</t>
        </is>
      </c>
      <c r="F45" s="8" t="inlineStr">
        <is>
          <t>Casa Civil</t>
        </is>
      </c>
      <c r="G45" s="8" t="inlineStr">
        <is>
          <t>Secretário Executivo da Casa Civil da Presidência da República, Jônathas Assunção de Castro,</t>
        </is>
      </c>
      <c r="H45" s="8" t="inlineStr">
        <is>
          <t>Secretaria-Executiva da Casa Civil da Presidência da República</t>
        </is>
      </c>
      <c r="I45" s="8" t="inlineStr">
        <is>
          <t>Mantido</t>
        </is>
      </c>
      <c r="J45" s="8" t="inlineStr">
        <is>
          <t>Interlocutor de órgão do escopo; título sem tema de política externa; composição aparentemente restrita.</t>
        </is>
      </c>
      <c r="K45" s="8" t="inlineStr"/>
      <c r="L45" s="8" t="n">
        <v>24</v>
      </c>
      <c r="M45" s="8" t="inlineStr">
        <is>
          <t>https://www.gov.br/mre/pt-br/agendas/agendas-de-autoridades-anteriores/agenda-antiga-fernando-simas-magalhaes/2021-07-14</t>
        </is>
      </c>
    </row>
    <row r="46">
      <c r="A46" s="8" t="n">
        <v>45</v>
      </c>
      <c r="B46" s="9" t="n">
        <v>44399</v>
      </c>
      <c r="C46" s="8" t="inlineStr">
        <is>
          <t>18:30</t>
        </is>
      </c>
      <c r="D46" s="8" t="inlineStr">
        <is>
          <t>Ministro de Estado</t>
        </is>
      </c>
      <c r="E46" s="8" t="inlineStr">
        <is>
          <t>Carlos Alberto Franco França</t>
        </is>
      </c>
      <c r="F46" s="8" t="inlineStr">
        <is>
          <t>Casa Civil (Luiz Eduardo Ramos)</t>
        </is>
      </c>
      <c r="G46" s="8" t="inlineStr">
        <is>
          <t>Embaixador Hélio Vitor Ramos Filho</t>
        </is>
      </c>
      <c r="H46" s="8" t="inlineStr">
        <is>
          <t>Gabinete</t>
        </is>
      </c>
      <c r="I46" s="8" t="inlineStr">
        <is>
          <t>Excluído — falso positivo lexical</t>
        </is>
      </c>
      <c r="J46" s="8" t="inlineStr">
        <is>
          <t>Homônimo ou termo fora de contexto (Ramos; 'Planejamento Diplomático'; 'Fazenda da Esperança'; G20 'Economia e Saúde Global').</t>
        </is>
      </c>
      <c r="K46" s="8" t="inlineStr"/>
      <c r="L46" s="8" t="inlineStr"/>
      <c r="M46" s="8" t="inlineStr">
        <is>
          <t>https://www.gov.br/mre/pt-br/agendas/agendas-de-autoridades-anteriores/agenda-antiga-carlos-alberto-franco-franca/2021-07-22</t>
        </is>
      </c>
    </row>
    <row r="47">
      <c r="A47" s="8" t="n">
        <v>46</v>
      </c>
      <c r="B47" s="9" t="n">
        <v>44403</v>
      </c>
      <c r="C47" s="8" t="inlineStr">
        <is>
          <t>11:00</t>
        </is>
      </c>
      <c r="D47" s="8" t="inlineStr">
        <is>
          <t>Secretário-Geral</t>
        </is>
      </c>
      <c r="E47" s="8" t="inlineStr">
        <is>
          <t>Fernando Simas Magalhães</t>
        </is>
      </c>
      <c r="F47" s="8" t="inlineStr">
        <is>
          <t>Casa Civil (Luiz Eduardo Ramos)</t>
        </is>
      </c>
      <c r="G47" s="8" t="inlineStr">
        <is>
          <t>Embaixador Hélio Vitor Ramos Filho</t>
        </is>
      </c>
      <c r="H47" s="8" t="inlineStr">
        <is>
          <t>Secretaria-Geral</t>
        </is>
      </c>
      <c r="I47" s="8" t="inlineStr">
        <is>
          <t>Excluído — falso positivo lexical</t>
        </is>
      </c>
      <c r="J47" s="8" t="inlineStr">
        <is>
          <t>Homônimo ou termo fora de contexto (Ramos; 'Planejamento Diplomático'; 'Fazenda da Esperança'; G20 'Economia e Saúde Global').</t>
        </is>
      </c>
      <c r="K47" s="8" t="inlineStr"/>
      <c r="L47" s="8" t="inlineStr"/>
      <c r="M47" s="8" t="inlineStr">
        <is>
          <t>https://www.gov.br/mre/pt-br/agendas/agendas-de-autoridades-anteriores/agenda-antiga-fernando-simas-magalhaes/2021-07-26</t>
        </is>
      </c>
    </row>
    <row r="48">
      <c r="A48" s="8" t="n">
        <v>47</v>
      </c>
      <c r="B48" s="9" t="n">
        <v>44409</v>
      </c>
      <c r="C48" s="8" t="inlineStr">
        <is>
          <t>16:00</t>
        </is>
      </c>
      <c r="D48" s="8" t="inlineStr">
        <is>
          <t>Secretário-Geral</t>
        </is>
      </c>
      <c r="E48" s="8" t="inlineStr">
        <is>
          <t>Fernando Simas Magalhães</t>
        </is>
      </c>
      <c r="F48" s="8" t="inlineStr">
        <is>
          <t>Casa Civil (Luiz Eduardo Ramos)</t>
        </is>
      </c>
      <c r="G48" s="8" t="inlineStr">
        <is>
          <t>Exposição “Oréades” de Gabriela Albergaria e de Marcelo Moscheta, a convite do Embaixador de Portugal no Brasil, Luís Faro Ramos</t>
        </is>
      </c>
      <c r="H48" s="8" t="inlineStr">
        <is>
          <t>Embaixada de Portugal</t>
        </is>
      </c>
      <c r="I48" s="8" t="inlineStr">
        <is>
          <t>Excluído — falso positivo lexical</t>
        </is>
      </c>
      <c r="J48" s="8" t="inlineStr">
        <is>
          <t>Homônimo ou termo fora de contexto (Ramos; 'Planejamento Diplomático'; 'Fazenda da Esperança'; G20 'Economia e Saúde Global').</t>
        </is>
      </c>
      <c r="K48" s="8" t="inlineStr"/>
      <c r="L48" s="8" t="inlineStr"/>
      <c r="M48" s="8" t="inlineStr">
        <is>
          <t>https://www.gov.br/mre/pt-br/agendas/agendas-de-autoridades-anteriores/agenda-antiga-fernando-simas-magalhaes/2021-08-01</t>
        </is>
      </c>
    </row>
    <row r="49">
      <c r="A49" s="8" t="n">
        <v>48</v>
      </c>
      <c r="B49" s="9" t="n">
        <v>44411</v>
      </c>
      <c r="C49" s="8" t="inlineStr">
        <is>
          <t>10:00</t>
        </is>
      </c>
      <c r="D49" s="8" t="inlineStr">
        <is>
          <t>Secretário-Geral</t>
        </is>
      </c>
      <c r="E49" s="8" t="inlineStr">
        <is>
          <t>Fernando Simas Magalhães</t>
        </is>
      </c>
      <c r="F49" s="8" t="inlineStr">
        <is>
          <t>Ministério da Economia</t>
        </is>
      </c>
      <c r="G49" s="8" t="inlineStr">
        <is>
          <t>Senhor Roberto Fendt Júnior, Secretário Especial de Comércio Exterior e Assuntos Internacionais do Ministério da Economia</t>
        </is>
      </c>
      <c r="H49" s="8" t="inlineStr">
        <is>
          <t>Secretaria-Geral</t>
        </is>
      </c>
      <c r="I49" s="8" t="inlineStr">
        <is>
          <t>Mantido</t>
        </is>
      </c>
      <c r="J49" s="8" t="inlineStr">
        <is>
          <t>Interlocutor de órgão do escopo; título sem tema de política externa; composição aparentemente restrita.</t>
        </is>
      </c>
      <c r="K49" s="8" t="inlineStr">
        <is>
          <t>Mantido por analogia à decisão do item 1.3 do relatório: o termo 'Internacionais' integra o cargo do interlocutor.</t>
        </is>
      </c>
      <c r="L49" s="8" t="n">
        <v>25</v>
      </c>
      <c r="M49" s="8" t="inlineStr">
        <is>
          <t>https://www.gov.br/mre/pt-br/agendas/agendas-de-autoridades-anteriores/agenda-antiga-fernando-simas-magalhaes/2021-08-03</t>
        </is>
      </c>
    </row>
    <row r="50">
      <c r="A50" s="8" t="n">
        <v>49</v>
      </c>
      <c r="B50" s="9" t="n">
        <v>44411</v>
      </c>
      <c r="C50" s="8" t="inlineStr">
        <is>
          <t>10:30</t>
        </is>
      </c>
      <c r="D50" s="8" t="inlineStr">
        <is>
          <t>Ministro de Estado</t>
        </is>
      </c>
      <c r="E50" s="8" t="inlineStr">
        <is>
          <t>Carlos Alberto Franco França</t>
        </is>
      </c>
      <c r="F50" s="8" t="inlineStr">
        <is>
          <t>(outro)</t>
        </is>
      </c>
      <c r="G50" s="8" t="inlineStr">
        <is>
          <t>Senhor Gustavo Montezano, Presidente do Banco Nacional do Desenvolvimento (BNDES)</t>
        </is>
      </c>
      <c r="H50" s="8" t="inlineStr">
        <is>
          <t>Gabinete</t>
        </is>
      </c>
      <c r="I50" s="8" t="inlineStr">
        <is>
          <t>Excluído — órgão fora do escopo</t>
        </is>
      </c>
      <c r="J50" s="8" t="inlineStr">
        <is>
          <t>Órgão não coberto pelo relatório (SEGOV, SGPR, AGU, CGU, BNDES, MGI, Gabinete da PR).</t>
        </is>
      </c>
      <c r="K50" s="8" t="inlineStr"/>
      <c r="L50" s="8" t="inlineStr"/>
      <c r="M50" s="8" t="inlineStr">
        <is>
          <t>https://www.gov.br/mre/pt-br/agendas/agendas-de-autoridades-anteriores/agenda-antiga-carlos-alberto-franco-franca/2021-08-03</t>
        </is>
      </c>
    </row>
    <row r="51">
      <c r="A51" s="8" t="n">
        <v>50</v>
      </c>
      <c r="B51" s="9" t="n">
        <v>44412</v>
      </c>
      <c r="C51" s="8" t="inlineStr">
        <is>
          <t>16:00</t>
        </is>
      </c>
      <c r="D51" s="8" t="inlineStr">
        <is>
          <t>Ministro de Estado</t>
        </is>
      </c>
      <c r="E51" s="8" t="inlineStr">
        <is>
          <t>Carlos Alberto Franco França</t>
        </is>
      </c>
      <c r="F51" s="8" t="inlineStr">
        <is>
          <t>Casa Civil</t>
        </is>
      </c>
      <c r="G51" s="8" t="inlineStr">
        <is>
          <t>Posse do Ministro de Estado da Casa Civil, Senador Ciro Nogueira</t>
        </is>
      </c>
      <c r="H51" s="8" t="inlineStr">
        <is>
          <t>Palácio do Planalto</t>
        </is>
      </c>
      <c r="I51" s="8" t="inlineStr">
        <is>
          <t>Excluído — porte (cerimônia pública)</t>
        </is>
      </c>
      <c r="J51" s="8" t="inlineStr">
        <is>
          <t>Cerimônia ou posse: ato público amplo, análogo ao critério de porte do relatório.</t>
        </is>
      </c>
      <c r="K51" s="8" t="inlineStr"/>
      <c r="L51" s="8" t="inlineStr"/>
      <c r="M51" s="8" t="inlineStr">
        <is>
          <t>https://www.gov.br/mre/pt-br/agendas/agendas-de-autoridades-anteriores/agenda-antiga-carlos-alberto-franco-franca/2021-08-04</t>
        </is>
      </c>
    </row>
    <row r="52">
      <c r="A52" s="8" t="n">
        <v>51</v>
      </c>
      <c r="B52" s="9" t="n">
        <v>44413</v>
      </c>
      <c r="C52" s="8" t="inlineStr">
        <is>
          <t>09:30</t>
        </is>
      </c>
      <c r="D52" s="8" t="inlineStr">
        <is>
          <t>Secretário-Geral</t>
        </is>
      </c>
      <c r="E52" s="8" t="inlineStr">
        <is>
          <t>Fernando Simas Magalhães</t>
        </is>
      </c>
      <c r="F52" s="8" t="inlineStr">
        <is>
          <t>Casa Civil</t>
        </is>
      </c>
      <c r="G52" s="8" t="inlineStr">
        <is>
          <t>Senhor Bruno Cesar Grossi de Souza, Secretário Especial de Relações Governamentais da Casa Civil da Presidência da República</t>
        </is>
      </c>
      <c r="H52" s="8" t="inlineStr">
        <is>
          <t>Palácio do Planalto</t>
        </is>
      </c>
      <c r="I52" s="8" t="inlineStr">
        <is>
          <t>Mantido</t>
        </is>
      </c>
      <c r="J52" s="8" t="inlineStr">
        <is>
          <t>Interlocutor de órgão do escopo; título sem tema de política externa; composição aparentemente restrita.</t>
        </is>
      </c>
      <c r="K52" s="8" t="inlineStr"/>
      <c r="L52" s="8" t="n">
        <v>26</v>
      </c>
      <c r="M52" s="8" t="inlineStr">
        <is>
          <t>https://www.gov.br/mre/pt-br/agendas/agendas-de-autoridades-anteriores/agenda-antiga-fernando-simas-magalhaes/2021-08-05</t>
        </is>
      </c>
    </row>
    <row r="53">
      <c r="A53" s="8" t="n">
        <v>52</v>
      </c>
      <c r="B53" s="9" t="n">
        <v>44426</v>
      </c>
      <c r="C53" s="8" t="inlineStr">
        <is>
          <t>12:30</t>
        </is>
      </c>
      <c r="D53" s="8" t="inlineStr">
        <is>
          <t>Ministro de Estado</t>
        </is>
      </c>
      <c r="E53" s="8" t="inlineStr">
        <is>
          <t>Carlos Alberto Franco França</t>
        </is>
      </c>
      <c r="F53" s="8" t="inlineStr">
        <is>
          <t>Casa Civil</t>
        </is>
      </c>
      <c r="G53" s="8" t="inlineStr">
        <is>
          <t>Almoço em homenagem ao Ministro-Chefe da Casa Civil, Senador Ciro Nogueira</t>
        </is>
      </c>
      <c r="H53" s="8" t="inlineStr">
        <is>
          <t>Sala Rio de Janeiro</t>
        </is>
      </c>
      <c r="I53" s="8" t="inlineStr">
        <is>
          <t>Mantido</t>
        </is>
      </c>
      <c r="J53" s="8" t="inlineStr">
        <is>
          <t>Interlocutor de órgão do escopo; título sem tema de política externa; composição aparentemente restrita.</t>
        </is>
      </c>
      <c r="K53" s="8" t="inlineStr">
        <is>
          <t>Almoço; porte não verificável (a agenda gov.br não lista participantes).</t>
        </is>
      </c>
      <c r="L53" s="8" t="n">
        <v>27</v>
      </c>
      <c r="M53" s="8" t="inlineStr">
        <is>
          <t>https://www.gov.br/mre/pt-br/agendas/agendas-de-autoridades-anteriores/agenda-antiga-carlos-alberto-franco-franca/2021-08-18</t>
        </is>
      </c>
    </row>
    <row r="54">
      <c r="A54" s="8" t="n">
        <v>53</v>
      </c>
      <c r="B54" s="9" t="n">
        <v>44426</v>
      </c>
      <c r="C54" s="8" t="inlineStr">
        <is>
          <t>12:30</t>
        </is>
      </c>
      <c r="D54" s="8" t="inlineStr">
        <is>
          <t>Secretário-Geral</t>
        </is>
      </c>
      <c r="E54" s="8" t="inlineStr">
        <is>
          <t>Fernando Simas Magalhães</t>
        </is>
      </c>
      <c r="F54" s="8" t="inlineStr">
        <is>
          <t>Casa Civil</t>
        </is>
      </c>
      <c r="G54" s="8" t="inlineStr">
        <is>
          <t>Acompanha o Ministro das Relações Exteriores em almoço em homenagem ao Ministro-Chefe da Casa Civil, Senador Ciro Nogueira</t>
        </is>
      </c>
      <c r="H54" s="8" t="inlineStr">
        <is>
          <t>Sala Rio de Janeiro</t>
        </is>
      </c>
      <c r="I54" s="8" t="inlineStr">
        <is>
          <t>Mantido</t>
        </is>
      </c>
      <c r="J54" s="8" t="inlineStr">
        <is>
          <t>Interlocutor de órgão do escopo; título sem tema de política externa; composição aparentemente restrita.</t>
        </is>
      </c>
      <c r="K54" s="8" t="inlineStr">
        <is>
          <t>Registro da Secretaria-Geral do mesmo evento da agenda do Ministro de Estado. Almoço; porte não verificável (a agenda gov.br não lista participantes).</t>
        </is>
      </c>
      <c r="L54" s="8" t="n">
        <v>27</v>
      </c>
      <c r="M54" s="8" t="inlineStr">
        <is>
          <t>https://www.gov.br/mre/pt-br/agendas/agendas-de-autoridades-anteriores/agenda-antiga-fernando-simas-magalhaes/2021-08-18</t>
        </is>
      </c>
    </row>
    <row r="55">
      <c r="A55" s="8" t="n">
        <v>54</v>
      </c>
      <c r="B55" s="9" t="n">
        <v>44432</v>
      </c>
      <c r="C55" s="8" t="inlineStr">
        <is>
          <t>16:00</t>
        </is>
      </c>
      <c r="D55" s="8" t="inlineStr">
        <is>
          <t>Secretário-Geral</t>
        </is>
      </c>
      <c r="E55" s="8" t="inlineStr">
        <is>
          <t>Fernando Simas Magalhães</t>
        </is>
      </c>
      <c r="F55" s="8" t="inlineStr">
        <is>
          <t>(outro)</t>
        </is>
      </c>
      <c r="G55" s="8" t="inlineStr">
        <is>
          <t>Senhor Pedro Cesar Nunes Ferreira Marques de Sousa, Subchefe para Assuntos Jurídicos da Secretaria-Geral da Presidência da República</t>
        </is>
      </c>
      <c r="H55" s="8" t="inlineStr">
        <is>
          <t>Secretaria-Geral</t>
        </is>
      </c>
      <c r="I55" s="8" t="inlineStr">
        <is>
          <t>Excluído — órgão fora do escopo</t>
        </is>
      </c>
      <c r="J55" s="8" t="inlineStr">
        <is>
          <t>Órgão não coberto pelo relatório (SEGOV, SGPR, AGU, CGU, BNDES, MGI, Gabinete da PR).</t>
        </is>
      </c>
      <c r="K55" s="8" t="inlineStr"/>
      <c r="L55" s="8" t="inlineStr"/>
      <c r="M55" s="8" t="inlineStr">
        <is>
          <t>https://www.gov.br/mre/pt-br/agendas/agendas-de-autoridades-anteriores/agenda-antiga-fernando-simas-magalhaes/2021-08-24</t>
        </is>
      </c>
    </row>
    <row r="56">
      <c r="A56" s="8" t="n">
        <v>55</v>
      </c>
      <c r="B56" s="9" t="n">
        <v>44433</v>
      </c>
      <c r="C56" s="8" t="inlineStr">
        <is>
          <t>17:00</t>
        </is>
      </c>
      <c r="D56" s="8" t="inlineStr">
        <is>
          <t>Secretário-Geral</t>
        </is>
      </c>
      <c r="E56" s="8" t="inlineStr">
        <is>
          <t>Fernando Simas Magalhães</t>
        </is>
      </c>
      <c r="F56" s="8" t="inlineStr">
        <is>
          <t>Casa Civil</t>
        </is>
      </c>
      <c r="G56" s="8" t="inlineStr">
        <is>
          <t>Senhor José Lopes Hott Júnior, Subchefe Substituto de Análise e Acompanhamento de Políticas Governamentais da Casa Civil da Presidência da República</t>
        </is>
      </c>
      <c r="H56" s="8" t="inlineStr">
        <is>
          <t>Palácio do Planalto</t>
        </is>
      </c>
      <c r="I56" s="8" t="inlineStr">
        <is>
          <t>Mantido</t>
        </is>
      </c>
      <c r="J56" s="8" t="inlineStr">
        <is>
          <t>Interlocutor de órgão do escopo; título sem tema de política externa; composição aparentemente restrita.</t>
        </is>
      </c>
      <c r="K56" s="8" t="inlineStr"/>
      <c r="L56" s="8" t="n">
        <v>28</v>
      </c>
      <c r="M56" s="8" t="inlineStr">
        <is>
          <t>https://www.gov.br/mre/pt-br/agendas/agendas-de-autoridades-anteriores/agenda-antiga-fernando-simas-magalhaes/2021-08-25</t>
        </is>
      </c>
    </row>
    <row r="57">
      <c r="A57" s="8" t="n">
        <v>56</v>
      </c>
      <c r="B57" s="9" t="n">
        <v>44441</v>
      </c>
      <c r="C57" s="8" t="inlineStr">
        <is>
          <t>18:00</t>
        </is>
      </c>
      <c r="D57" s="8" t="inlineStr">
        <is>
          <t>Ministro de Estado</t>
        </is>
      </c>
      <c r="E57" s="8" t="inlineStr">
        <is>
          <t>Carlos Alberto Franco França</t>
        </is>
      </c>
      <c r="F57" s="8" t="inlineStr">
        <is>
          <t>Ministério da Economia</t>
        </is>
      </c>
      <c r="G57" s="8" t="inlineStr">
        <is>
          <t>Senhor Carlos Alexandre Jorge Da Costa, Secretário Especial de Produtividade e Competitividade do Ministério da Economia</t>
        </is>
      </c>
      <c r="H57" s="8" t="inlineStr">
        <is>
          <t>Gabinete</t>
        </is>
      </c>
      <c r="I57" s="8" t="inlineStr">
        <is>
          <t>Mantido</t>
        </is>
      </c>
      <c r="J57" s="8" t="inlineStr">
        <is>
          <t>Interlocutor de órgão do escopo; título sem tema de política externa; composição aparentemente restrita.</t>
        </is>
      </c>
      <c r="K57" s="8" t="inlineStr"/>
      <c r="L57" s="8" t="n">
        <v>29</v>
      </c>
      <c r="M57" s="8" t="inlineStr">
        <is>
          <t>https://www.gov.br/mre/pt-br/agendas/agendas-de-autoridades-anteriores/agenda-antiga-carlos-alberto-franco-franca/2021-09-02</t>
        </is>
      </c>
    </row>
    <row r="58">
      <c r="A58" s="8" t="n">
        <v>57</v>
      </c>
      <c r="B58" s="9" t="n">
        <v>44448</v>
      </c>
      <c r="C58" s="8" t="inlineStr">
        <is>
          <t>12:30</t>
        </is>
      </c>
      <c r="D58" s="8" t="inlineStr">
        <is>
          <t>Ministro de Estado</t>
        </is>
      </c>
      <c r="E58" s="8" t="inlineStr">
        <is>
          <t>Carlos Alberto Franco França</t>
        </is>
      </c>
      <c r="F58" s="8" t="inlineStr">
        <is>
          <t>Ministério da Economia</t>
        </is>
      </c>
      <c r="G58" s="8" t="inlineStr">
        <is>
          <t>Senhor Caio Mario Paes de Andrade, Secretário Especial de Desburocratização, Gestão e Governo Digital do Ministério da Economia</t>
        </is>
      </c>
      <c r="H58" s="8" t="inlineStr">
        <is>
          <t>Gabinete</t>
        </is>
      </c>
      <c r="I58" s="8" t="inlineStr">
        <is>
          <t>Mantido</t>
        </is>
      </c>
      <c r="J58" s="8" t="inlineStr">
        <is>
          <t>Interlocutor de órgão do escopo; título sem tema de política externa; composição aparentemente restrita.</t>
        </is>
      </c>
      <c r="K58" s="8" t="inlineStr">
        <is>
          <t>Reunião e almoço do mesmo dia: dois registros, uma visita.</t>
        </is>
      </c>
      <c r="L58" s="8" t="n">
        <v>30</v>
      </c>
      <c r="M58" s="8" t="inlineStr">
        <is>
          <t>https://www.gov.br/mre/pt-br/agendas/agendas-de-autoridades-anteriores/agenda-antiga-carlos-alberto-franco-franca/2021-09-09</t>
        </is>
      </c>
    </row>
    <row r="59">
      <c r="A59" s="8" t="n">
        <v>58</v>
      </c>
      <c r="B59" s="9" t="n">
        <v>44448</v>
      </c>
      <c r="C59" s="8" t="inlineStr">
        <is>
          <t>13:00</t>
        </is>
      </c>
      <c r="D59" s="8" t="inlineStr">
        <is>
          <t>Ministro de Estado</t>
        </is>
      </c>
      <c r="E59" s="8" t="inlineStr">
        <is>
          <t>Carlos Alberto Franco França</t>
        </is>
      </c>
      <c r="F59" s="8" t="inlineStr">
        <is>
          <t>Ministério da Economia</t>
        </is>
      </c>
      <c r="G59" s="8" t="inlineStr">
        <is>
          <t>Almoço oferecido em homenagem ao Senhor Caio Mario Paes de Andrade, Secretário Especial de Desburocratização, Gestão e Governo Digital do Ministério da Economia</t>
        </is>
      </c>
      <c r="H59" s="8" t="inlineStr">
        <is>
          <t>Sala Rio de Janeiro</t>
        </is>
      </c>
      <c r="I59" s="8" t="inlineStr">
        <is>
          <t>Mantido</t>
        </is>
      </c>
      <c r="J59" s="8" t="inlineStr">
        <is>
          <t>Interlocutor de órgão do escopo; título sem tema de política externa; composição aparentemente restrita.</t>
        </is>
      </c>
      <c r="K59" s="8" t="inlineStr">
        <is>
          <t>Almoço; porte não verificável (a agenda gov.br não lista participantes). Reunião e almoço do mesmo dia: dois registros, uma visita.</t>
        </is>
      </c>
      <c r="L59" s="8" t="n">
        <v>31</v>
      </c>
      <c r="M59" s="8" t="inlineStr">
        <is>
          <t>https://www.gov.br/mre/pt-br/agendas/agendas-de-autoridades-anteriores/agenda-antiga-carlos-alberto-franco-franca/2021-09-09</t>
        </is>
      </c>
    </row>
    <row r="60">
      <c r="A60" s="8" t="n">
        <v>59</v>
      </c>
      <c r="B60" s="9" t="n">
        <v>44461</v>
      </c>
      <c r="C60" s="8" t="inlineStr">
        <is>
          <t>12:00</t>
        </is>
      </c>
      <c r="D60" s="8" t="inlineStr">
        <is>
          <t>Secretário-Geral</t>
        </is>
      </c>
      <c r="E60" s="8" t="inlineStr">
        <is>
          <t>Fernando Simas Magalhães</t>
        </is>
      </c>
      <c r="F60" s="8" t="inlineStr">
        <is>
          <t>Ministério da Economia</t>
        </is>
      </c>
      <c r="G60" s="8" t="inlineStr">
        <is>
          <t>Senhor Roberto Fendt Júnior, Secretário Especial de Comércio Exterior e Assuntos Internacionais do Ministério da Economia</t>
        </is>
      </c>
      <c r="H60" s="8" t="inlineStr">
        <is>
          <t>Secretaria-Geral</t>
        </is>
      </c>
      <c r="I60" s="8" t="inlineStr">
        <is>
          <t>Mantido</t>
        </is>
      </c>
      <c r="J60" s="8" t="inlineStr">
        <is>
          <t>Interlocutor de órgão do escopo; título sem tema de política externa; composição aparentemente restrita.</t>
        </is>
      </c>
      <c r="K60" s="8" t="inlineStr">
        <is>
          <t>Mantido por analogia à decisão do item 1.3 do relatório: o termo 'Internacionais' integra o cargo do interlocutor.</t>
        </is>
      </c>
      <c r="L60" s="8" t="n">
        <v>32</v>
      </c>
      <c r="M60" s="8" t="inlineStr">
        <is>
          <t>https://www.gov.br/mre/pt-br/agendas/agendas-de-autoridades-anteriores/agenda-antiga-fernando-simas-magalhaes/2021-09-22</t>
        </is>
      </c>
    </row>
    <row r="61">
      <c r="A61" s="8" t="n">
        <v>60</v>
      </c>
      <c r="B61" s="9" t="n">
        <v>44462</v>
      </c>
      <c r="C61" s="8" t="inlineStr">
        <is>
          <t>16:30</t>
        </is>
      </c>
      <c r="D61" s="8" t="inlineStr">
        <is>
          <t>Secretário-Geral</t>
        </is>
      </c>
      <c r="E61" s="8" t="inlineStr">
        <is>
          <t>Fernando Simas Magalhães</t>
        </is>
      </c>
      <c r="F61" s="8" t="inlineStr">
        <is>
          <t>Casa Civil</t>
        </is>
      </c>
      <c r="G61" s="8" t="inlineStr">
        <is>
          <t>Senhor Jônathas Assunção Salvador Nery de Castro, Secretário-Executivo da Casa Civil da Presidência da República</t>
        </is>
      </c>
      <c r="H61" s="8" t="inlineStr">
        <is>
          <t>Palácio do Planalto</t>
        </is>
      </c>
      <c r="I61" s="8" t="inlineStr">
        <is>
          <t>Mantido</t>
        </is>
      </c>
      <c r="J61" s="8" t="inlineStr">
        <is>
          <t>Interlocutor de órgão do escopo; título sem tema de política externa; composição aparentemente restrita.</t>
        </is>
      </c>
      <c r="K61" s="8" t="inlineStr"/>
      <c r="L61" s="8" t="n">
        <v>33</v>
      </c>
      <c r="M61" s="8" t="inlineStr">
        <is>
          <t>https://www.gov.br/mre/pt-br/agendas/agendas-de-autoridades-anteriores/agenda-antiga-fernando-simas-magalhaes/2021-09-23</t>
        </is>
      </c>
    </row>
    <row r="62">
      <c r="A62" s="8" t="n">
        <v>61</v>
      </c>
      <c r="B62" s="9" t="n">
        <v>44477</v>
      </c>
      <c r="C62" s="8" t="inlineStr">
        <is>
          <t>17:30</t>
        </is>
      </c>
      <c r="D62" s="8" t="inlineStr">
        <is>
          <t>Ministro de Estado</t>
        </is>
      </c>
      <c r="E62" s="8" t="inlineStr">
        <is>
          <t>Carlos Alberto Franco França</t>
        </is>
      </c>
      <c r="F62" s="8" t="inlineStr">
        <is>
          <t>Ministério da Economia</t>
        </is>
      </c>
      <c r="G62" s="8" t="inlineStr">
        <is>
          <t>Reunião com o Senhor Paulo Guedes, Ministro de Estado da Economia</t>
        </is>
      </c>
      <c r="H62" s="8" t="inlineStr">
        <is>
          <t>Ministério da Economia</t>
        </is>
      </c>
      <c r="I62" s="8" t="inlineStr">
        <is>
          <t>Mantido</t>
        </is>
      </c>
      <c r="J62" s="8" t="inlineStr">
        <is>
          <t>Interlocutor de órgão do escopo; título sem tema de política externa; composição aparentemente restrita.</t>
        </is>
      </c>
      <c r="K62" s="8" t="inlineStr"/>
      <c r="L62" s="8" t="n">
        <v>34</v>
      </c>
      <c r="M62" s="8" t="inlineStr">
        <is>
          <t>https://www.gov.br/mre/pt-br/agendas/agendas-de-autoridades-anteriores/agenda-antiga-carlos-alberto-franco-franca/2021-10-08</t>
        </is>
      </c>
    </row>
    <row r="63">
      <c r="A63" s="8" t="n">
        <v>62</v>
      </c>
      <c r="B63" s="9" t="n">
        <v>44488</v>
      </c>
      <c r="C63" s="8" t="inlineStr">
        <is>
          <t>18:30</t>
        </is>
      </c>
      <c r="D63" s="8" t="inlineStr">
        <is>
          <t>Ministro de Estado</t>
        </is>
      </c>
      <c r="E63" s="8" t="inlineStr">
        <is>
          <t>Carlos Alberto Franco França</t>
        </is>
      </c>
      <c r="F63" s="8" t="inlineStr">
        <is>
          <t>Ministério da Economia</t>
        </is>
      </c>
      <c r="G63" s="8" t="inlineStr">
        <is>
          <t>Senhor Carlos da Costa, Secretário Especial de Produtividade e Competitividade do Ministério da Economia</t>
        </is>
      </c>
      <c r="H63" s="8" t="inlineStr">
        <is>
          <t>Gabinete</t>
        </is>
      </c>
      <c r="I63" s="8" t="inlineStr">
        <is>
          <t>Mantido</t>
        </is>
      </c>
      <c r="J63" s="8" t="inlineStr">
        <is>
          <t>Interlocutor de órgão do escopo; título sem tema de política externa; composição aparentemente restrita.</t>
        </is>
      </c>
      <c r="K63" s="8" t="inlineStr"/>
      <c r="L63" s="8" t="n">
        <v>35</v>
      </c>
      <c r="M63" s="8" t="inlineStr">
        <is>
          <t>https://www.gov.br/mre/pt-br/agendas/agendas-de-autoridades-anteriores/agenda-antiga-carlos-alberto-franco-franca/2021-10-19</t>
        </is>
      </c>
    </row>
    <row r="64">
      <c r="A64" s="8" t="n">
        <v>63</v>
      </c>
      <c r="B64" s="9" t="n">
        <v>44499</v>
      </c>
      <c r="C64" s="8" t="inlineStr">
        <is>
          <t>11:45</t>
        </is>
      </c>
      <c r="D64" s="8" t="inlineStr">
        <is>
          <t>Ministro de Estado</t>
        </is>
      </c>
      <c r="E64" s="8" t="inlineStr">
        <is>
          <t>Carlos Alberto Franco França</t>
        </is>
      </c>
      <c r="F64" s="8" t="inlineStr">
        <is>
          <t>Ministério da Economia</t>
        </is>
      </c>
      <c r="G64" s="8" t="inlineStr">
        <is>
          <t>Acompanha o Senhor Presidente da República na Primeira Sessão da Cúpula de Líderes do G20, "Economia e Saúde Global", com almoço de trabalho</t>
        </is>
      </c>
      <c r="H64" s="8" t="inlineStr">
        <is>
          <t>Centro de Conferências de Roma</t>
        </is>
      </c>
      <c r="I64" s="8" t="inlineStr">
        <is>
          <t>Excluído — falso positivo lexical</t>
        </is>
      </c>
      <c r="J64" s="8" t="inlineStr">
        <is>
          <t>Homônimo ou termo fora de contexto (Ramos; 'Planejamento Diplomático'; 'Fazenda da Esperança'; G20 'Economia e Saúde Global').</t>
        </is>
      </c>
      <c r="K64" s="8" t="inlineStr">
        <is>
          <t>Almoço; porte não verificável (a agenda gov.br não lista participantes).</t>
        </is>
      </c>
      <c r="L64" s="8" t="inlineStr"/>
      <c r="M64" s="8" t="inlineStr">
        <is>
          <t>https://www.gov.br/mre/pt-br/agendas/agendas-de-autoridades-anteriores/agenda-antiga-carlos-alberto-franco-franca/2021-10-30</t>
        </is>
      </c>
    </row>
    <row r="65">
      <c r="A65" s="8" t="n">
        <v>64</v>
      </c>
      <c r="B65" s="9" t="n">
        <v>44519</v>
      </c>
      <c r="C65" s="8" t="inlineStr">
        <is>
          <t>11:15</t>
        </is>
      </c>
      <c r="D65" s="8" t="inlineStr">
        <is>
          <t>Secretário-Geral</t>
        </is>
      </c>
      <c r="E65" s="8" t="inlineStr">
        <is>
          <t>Fernando Simas Magalhães</t>
        </is>
      </c>
      <c r="F65" s="8" t="inlineStr">
        <is>
          <t>Ministério da Economia</t>
        </is>
      </c>
      <c r="G65" s="8" t="inlineStr">
        <is>
          <t>Senhor Marcelo Pacheco dos Guaranys, Secretário-Executivo do Ministério da Economia</t>
        </is>
      </c>
      <c r="H65" s="8" t="inlineStr">
        <is>
          <t>Ministério da Economia</t>
        </is>
      </c>
      <c r="I65" s="8" t="inlineStr">
        <is>
          <t>Mantido</t>
        </is>
      </c>
      <c r="J65" s="8" t="inlineStr">
        <is>
          <t>Interlocutor de órgão do escopo; título sem tema de política externa; composição aparentemente restrita.</t>
        </is>
      </c>
      <c r="K65" s="8" t="inlineStr"/>
      <c r="L65" s="8" t="n">
        <v>36</v>
      </c>
      <c r="M65" s="8" t="inlineStr">
        <is>
          <t>https://www.gov.br/mre/pt-br/agendas/agendas-de-autoridades-anteriores/agenda-antiga-fernando-simas-magalhaes/2021-11-19</t>
        </is>
      </c>
    </row>
    <row r="66">
      <c r="A66" s="8" t="n">
        <v>65</v>
      </c>
      <c r="B66" s="9" t="n">
        <v>44536</v>
      </c>
      <c r="C66" s="8" t="inlineStr">
        <is>
          <t>10:45</t>
        </is>
      </c>
      <c r="D66" s="8" t="inlineStr">
        <is>
          <t>Ministro de Estado</t>
        </is>
      </c>
      <c r="E66" s="8" t="inlineStr">
        <is>
          <t>Carlos Alberto Franco França</t>
        </is>
      </c>
      <c r="F66" s="8" t="inlineStr">
        <is>
          <t>(outro)</t>
        </is>
      </c>
      <c r="G66" s="8" t="inlineStr">
        <is>
          <t>Presidente do BNDES, Senhor Gustavo Montezano</t>
        </is>
      </c>
      <c r="H66" s="8" t="inlineStr">
        <is>
          <t>Gabinete</t>
        </is>
      </c>
      <c r="I66" s="8" t="inlineStr">
        <is>
          <t>Excluído — órgão fora do escopo</t>
        </is>
      </c>
      <c r="J66" s="8" t="inlineStr">
        <is>
          <t>Órgão não coberto pelo relatório (SEGOV, SGPR, AGU, CGU, BNDES, MGI, Gabinete da PR).</t>
        </is>
      </c>
      <c r="K66" s="8" t="inlineStr"/>
      <c r="L66" s="8" t="inlineStr"/>
      <c r="M66" s="8" t="inlineStr">
        <is>
          <t>https://www.gov.br/mre/pt-br/agendas/agendas-de-autoridades-anteriores/agenda-antiga-carlos-alberto-franco-franca/2021-12-06</t>
        </is>
      </c>
    </row>
    <row r="67">
      <c r="A67" s="8" t="n">
        <v>66</v>
      </c>
      <c r="B67" s="9" t="n">
        <v>44540</v>
      </c>
      <c r="C67" s="8" t="inlineStr">
        <is>
          <t>16:30</t>
        </is>
      </c>
      <c r="D67" s="8" t="inlineStr">
        <is>
          <t>Ministro de Estado</t>
        </is>
      </c>
      <c r="E67" s="8" t="inlineStr">
        <is>
          <t>Carlos Alberto Franco França</t>
        </is>
      </c>
      <c r="F67" s="8" t="inlineStr">
        <is>
          <t>(outro)</t>
        </is>
      </c>
      <c r="G67" s="8" t="inlineStr">
        <is>
          <t>Chefe de Gabinete, Embaixador Achilles Zaluar, e o Diretor de Planejamento Diplomático, Ministro Sérgio Rodrigues dos Santos</t>
        </is>
      </c>
      <c r="H67" s="8" t="inlineStr">
        <is>
          <t>Gabinete</t>
        </is>
      </c>
      <c r="I67" s="8" t="inlineStr">
        <is>
          <t>Excluído — falso positivo lexical</t>
        </is>
      </c>
      <c r="J67" s="8" t="inlineStr">
        <is>
          <t>Homônimo ou termo fora de contexto (Ramos; 'Planejamento Diplomático'; 'Fazenda da Esperança'; G20 'Economia e Saúde Global').</t>
        </is>
      </c>
      <c r="K67" s="8" t="inlineStr"/>
      <c r="L67" s="8" t="inlineStr"/>
      <c r="M67" s="8" t="inlineStr">
        <is>
          <t>https://www.gov.br/mre/pt-br/agendas/agendas-de-autoridades-anteriores/agenda-antiga-carlos-alberto-franco-franca/2021-12-10</t>
        </is>
      </c>
    </row>
    <row r="68">
      <c r="A68" s="8" t="n">
        <v>67</v>
      </c>
      <c r="B68" s="9" t="n">
        <v>44543</v>
      </c>
      <c r="C68" s="8" t="inlineStr">
        <is>
          <t>11:00</t>
        </is>
      </c>
      <c r="D68" s="8" t="inlineStr">
        <is>
          <t>Secretário-Geral</t>
        </is>
      </c>
      <c r="E68" s="8" t="inlineStr">
        <is>
          <t>Fernando Simas Magalhães</t>
        </is>
      </c>
      <c r="F68" s="8" t="inlineStr">
        <is>
          <t>Casa Civil</t>
        </is>
      </c>
      <c r="G68" s="8" t="inlineStr">
        <is>
          <t>Senhor Jônathas Assunção Salvador Nery de Castro, Secretário-Executivo da Casa Civil da Presidência da República</t>
        </is>
      </c>
      <c r="H68" s="8" t="inlineStr">
        <is>
          <t>Palácio do Planalto</t>
        </is>
      </c>
      <c r="I68" s="8" t="inlineStr">
        <is>
          <t>Mantido</t>
        </is>
      </c>
      <c r="J68" s="8" t="inlineStr">
        <is>
          <t>Interlocutor de órgão do escopo; título sem tema de política externa; composição aparentemente restrita.</t>
        </is>
      </c>
      <c r="K68" s="8" t="inlineStr"/>
      <c r="L68" s="8" t="n">
        <v>37</v>
      </c>
      <c r="M68" s="8" t="inlineStr">
        <is>
          <t>https://www.gov.br/mre/pt-br/agendas/agendas-de-autoridades-anteriores/agenda-antiga-fernando-simas-magalhaes/2021-12-13</t>
        </is>
      </c>
    </row>
    <row r="69">
      <c r="A69" s="8" t="n">
        <v>68</v>
      </c>
      <c r="B69" s="9" t="n">
        <v>44547</v>
      </c>
      <c r="C69" s="8" t="inlineStr">
        <is>
          <t>12:15</t>
        </is>
      </c>
      <c r="D69" s="8" t="inlineStr">
        <is>
          <t>Ministro de Estado</t>
        </is>
      </c>
      <c r="E69" s="8" t="inlineStr">
        <is>
          <t>Carlos Alberto Franco França</t>
        </is>
      </c>
      <c r="F69" s="8" t="inlineStr">
        <is>
          <t>Ministério da Economia</t>
        </is>
      </c>
      <c r="G69" s="8" t="inlineStr">
        <is>
          <t>Chefe da Assessoria Especial de Assuntos Estratégicos do Ministério da Economia, Senhora Daniella Marques Consentino</t>
        </is>
      </c>
      <c r="H69" s="8" t="inlineStr">
        <is>
          <t>Gabinete</t>
        </is>
      </c>
      <c r="I69" s="8" t="inlineStr">
        <is>
          <t>Mantido</t>
        </is>
      </c>
      <c r="J69" s="8" t="inlineStr">
        <is>
          <t>Interlocutor de órgão do escopo; título sem tema de política externa; composição aparentemente restrita.</t>
        </is>
      </c>
      <c r="K69" s="8" t="inlineStr"/>
      <c r="L69" s="8" t="n">
        <v>38</v>
      </c>
      <c r="M69" s="8" t="inlineStr">
        <is>
          <t>https://www.gov.br/mre/pt-br/agendas/agendas-de-autoridades-anteriores/agenda-antiga-carlos-alberto-franco-franca/2021-12-17</t>
        </is>
      </c>
    </row>
    <row r="70">
      <c r="A70" s="8" t="n">
        <v>69</v>
      </c>
      <c r="B70" s="9" t="n">
        <v>44603</v>
      </c>
      <c r="C70" s="8" t="inlineStr">
        <is>
          <t>17:30</t>
        </is>
      </c>
      <c r="D70" s="8" t="inlineStr">
        <is>
          <t>Ministro de Estado</t>
        </is>
      </c>
      <c r="E70" s="8" t="inlineStr">
        <is>
          <t>Carlos Alberto Franco França</t>
        </is>
      </c>
      <c r="F70" s="8" t="inlineStr">
        <is>
          <t>Ministério da Economia</t>
        </is>
      </c>
      <c r="G70" s="8" t="inlineStr">
        <is>
          <t>Ministro de Estado da Economia, Paulo Guedes</t>
        </is>
      </c>
      <c r="H70" s="8" t="inlineStr">
        <is>
          <t>Gabinete</t>
        </is>
      </c>
      <c r="I70" s="8" t="inlineStr">
        <is>
          <t>Mantido</t>
        </is>
      </c>
      <c r="J70" s="8" t="inlineStr">
        <is>
          <t>Interlocutor de órgão do escopo; título sem tema de política externa; composição aparentemente restrita.</t>
        </is>
      </c>
      <c r="K70" s="8" t="inlineStr"/>
      <c r="L70" s="8" t="n">
        <v>39</v>
      </c>
      <c r="M70" s="8" t="inlineStr">
        <is>
          <t>https://www.gov.br/mre/pt-br/agendas/agendas-de-autoridades-anteriores/agenda-antiga-carlos-alberto-franco-franca/2022-02-11</t>
        </is>
      </c>
    </row>
    <row r="71">
      <c r="A71" s="8" t="n">
        <v>70</v>
      </c>
      <c r="B71" s="9" t="n">
        <v>44624</v>
      </c>
      <c r="C71" s="8" t="inlineStr">
        <is>
          <t>12:30</t>
        </is>
      </c>
      <c r="D71" s="8" t="inlineStr">
        <is>
          <t>Ministro de Estado</t>
        </is>
      </c>
      <c r="E71" s="8" t="inlineStr">
        <is>
          <t>Carlos Alberto Franco França</t>
        </is>
      </c>
      <c r="F71" s="8" t="inlineStr">
        <is>
          <t>(outro)</t>
        </is>
      </c>
      <c r="G71" s="8" t="inlineStr">
        <is>
          <t>Almoço oferecido ao Subchefe para Assuntos Jurídicos da Secretaria-Geral da Presidência da República, Doutor Pedro Cesar Sousa</t>
        </is>
      </c>
      <c r="H71" s="8" t="inlineStr">
        <is>
          <t>Palácio Itamaraty, Sala Brasília</t>
        </is>
      </c>
      <c r="I71" s="8" t="inlineStr">
        <is>
          <t>Excluído — órgão fora do escopo</t>
        </is>
      </c>
      <c r="J71" s="8" t="inlineStr">
        <is>
          <t>Órgão não coberto pelo relatório (SEGOV, SGPR, AGU, CGU, BNDES, MGI, Gabinete da PR).</t>
        </is>
      </c>
      <c r="K71" s="8" t="inlineStr">
        <is>
          <t>Almoço; porte não verificável (a agenda gov.br não lista participantes).</t>
        </is>
      </c>
      <c r="L71" s="8" t="inlineStr"/>
      <c r="M71" s="8" t="inlineStr">
        <is>
          <t>https://www.gov.br/mre/pt-br/agendas/agendas-de-autoridades-anteriores/agenda-antiga-carlos-alberto-franco-franca/2022-03-04</t>
        </is>
      </c>
    </row>
    <row r="72">
      <c r="A72" s="8" t="n">
        <v>71</v>
      </c>
      <c r="B72" s="9" t="n">
        <v>44641</v>
      </c>
      <c r="C72" s="8" t="inlineStr">
        <is>
          <t>16:00</t>
        </is>
      </c>
      <c r="D72" s="8" t="inlineStr">
        <is>
          <t>Secretário-Geral</t>
        </is>
      </c>
      <c r="E72" s="8" t="inlineStr">
        <is>
          <t>Fernando Simas Magalhães</t>
        </is>
      </c>
      <c r="F72" s="8" t="inlineStr">
        <is>
          <t>Casa Civil</t>
        </is>
      </c>
      <c r="G72" s="8" t="inlineStr">
        <is>
          <t>Senhor Jônathas Assunção Salvador Nery de Castro, Secretário-Executivo da Casa Civil da Presidência da República</t>
        </is>
      </c>
      <c r="H72" s="8" t="inlineStr">
        <is>
          <t>Palácio do Planalto</t>
        </is>
      </c>
      <c r="I72" s="8" t="inlineStr">
        <is>
          <t>Mantido</t>
        </is>
      </c>
      <c r="J72" s="8" t="inlineStr">
        <is>
          <t>Interlocutor de órgão do escopo; título sem tema de política externa; composição aparentemente restrita.</t>
        </is>
      </c>
      <c r="K72" s="8" t="inlineStr"/>
      <c r="L72" s="8" t="n">
        <v>40</v>
      </c>
      <c r="M72" s="8" t="inlineStr">
        <is>
          <t>https://www.gov.br/mre/pt-br/agendas/agendas-de-autoridades-anteriores/agenda-antiga-fernando-simas-magalhaes/2022-03-21</t>
        </is>
      </c>
    </row>
    <row r="73">
      <c r="A73" s="8" t="n">
        <v>72</v>
      </c>
      <c r="B73" s="9" t="n">
        <v>44644</v>
      </c>
      <c r="C73" s="8" t="inlineStr">
        <is>
          <t>14:30</t>
        </is>
      </c>
      <c r="D73" s="8" t="inlineStr">
        <is>
          <t>Ministro de Estado</t>
        </is>
      </c>
      <c r="E73" s="8" t="inlineStr">
        <is>
          <t>Carlos Alberto Franco França</t>
        </is>
      </c>
      <c r="F73" s="8" t="inlineStr">
        <is>
          <t>Casa Civil</t>
        </is>
      </c>
      <c r="G73" s="8" t="inlineStr">
        <is>
          <t>Audiência com o Ministro-Chefe da Casa Civil, Ciro Nogueira</t>
        </is>
      </c>
      <c r="H73" s="8" t="inlineStr">
        <is>
          <t>Palácio do Planalto</t>
        </is>
      </c>
      <c r="I73" s="8" t="inlineStr">
        <is>
          <t>Mantido</t>
        </is>
      </c>
      <c r="J73" s="8" t="inlineStr">
        <is>
          <t>Interlocutor de órgão do escopo; título sem tema de política externa; composição aparentemente restrita.</t>
        </is>
      </c>
      <c r="K73" s="8" t="inlineStr"/>
      <c r="L73" s="8" t="n">
        <v>41</v>
      </c>
      <c r="M73" s="8" t="inlineStr">
        <is>
          <t>https://www.gov.br/mre/pt-br/agendas/agendas-de-autoridades-anteriores/agenda-antiga-carlos-alberto-franco-franca/2022-03-24</t>
        </is>
      </c>
    </row>
    <row r="74">
      <c r="A74" s="8" t="n">
        <v>73</v>
      </c>
      <c r="B74" s="9" t="n">
        <v>44644</v>
      </c>
      <c r="C74" s="8" t="inlineStr">
        <is>
          <t>16:30</t>
        </is>
      </c>
      <c r="D74" s="8" t="inlineStr">
        <is>
          <t>Ministro de Estado</t>
        </is>
      </c>
      <c r="E74" s="8" t="inlineStr">
        <is>
          <t>Carlos Alberto Franco França</t>
        </is>
      </c>
      <c r="F74" s="8" t="inlineStr">
        <is>
          <t>Casa Civil (Luiz Eduardo Ramos)</t>
        </is>
      </c>
      <c r="G74" s="8" t="inlineStr">
        <is>
          <t>Telefonema internacional com a Ministra dos Negócios Estrangeiros, Cooperação e Comunidades de São Tomé e Príncipe, Edite Ramos da Costa Ten Jua</t>
        </is>
      </c>
      <c r="H74" s="8" t="inlineStr">
        <is>
          <t>Gabinete</t>
        </is>
      </c>
      <c r="I74" s="8" t="inlineStr">
        <is>
          <t>Excluído — falso positivo lexical</t>
        </is>
      </c>
      <c r="J74" s="8" t="inlineStr">
        <is>
          <t>Homônimo ou termo fora de contexto (Ramos; 'Planejamento Diplomático'; 'Fazenda da Esperança'; G20 'Economia e Saúde Global').</t>
        </is>
      </c>
      <c r="K74" s="8" t="inlineStr">
        <is>
          <t>Telefonema.</t>
        </is>
      </c>
      <c r="L74" s="8" t="inlineStr"/>
      <c r="M74" s="8" t="inlineStr">
        <is>
          <t>https://www.gov.br/mre/pt-br/agendas/agendas-de-autoridades-anteriores/agenda-antiga-carlos-alberto-franco-franca/2022-03-24</t>
        </is>
      </c>
    </row>
    <row r="75">
      <c r="A75" s="8" t="n">
        <v>74</v>
      </c>
      <c r="B75" s="9" t="n">
        <v>44685</v>
      </c>
      <c r="C75" s="8" t="inlineStr">
        <is>
          <t>17:30</t>
        </is>
      </c>
      <c r="D75" s="8" t="inlineStr">
        <is>
          <t>Ministro de Estado</t>
        </is>
      </c>
      <c r="E75" s="8" t="inlineStr">
        <is>
          <t>Carlos Alberto Franco França</t>
        </is>
      </c>
      <c r="F75" s="8" t="inlineStr">
        <is>
          <t>Ministério da Economia</t>
        </is>
      </c>
      <c r="G75" s="8" t="inlineStr">
        <is>
          <t>Secretária de Produtividade e Competitividade do Ministério da Economia, Daniella Marques Consentino</t>
        </is>
      </c>
      <c r="H75" s="8" t="inlineStr">
        <is>
          <t>Gabinete</t>
        </is>
      </c>
      <c r="I75" s="8" t="inlineStr">
        <is>
          <t>Mantido</t>
        </is>
      </c>
      <c r="J75" s="8" t="inlineStr">
        <is>
          <t>Interlocutor de órgão do escopo; título sem tema de política externa; composição aparentemente restrita.</t>
        </is>
      </c>
      <c r="K75" s="8" t="inlineStr"/>
      <c r="L75" s="8" t="n">
        <v>42</v>
      </c>
      <c r="M75" s="8" t="inlineStr">
        <is>
          <t>https://www.gov.br/mre/pt-br/agendas/agendas-de-autoridades-anteriores/agenda-antiga-carlos-alberto-franco-franca/2022-05-04</t>
        </is>
      </c>
    </row>
    <row r="76">
      <c r="A76" s="8" t="n">
        <v>75</v>
      </c>
      <c r="B76" s="9" t="n">
        <v>44732</v>
      </c>
      <c r="C76" s="8" t="inlineStr">
        <is>
          <t>09:30</t>
        </is>
      </c>
      <c r="D76" s="8" t="inlineStr">
        <is>
          <t>Ministro de Estado</t>
        </is>
      </c>
      <c r="E76" s="8" t="inlineStr">
        <is>
          <t>Carlos Alberto Franco França</t>
        </is>
      </c>
      <c r="F76" s="8" t="inlineStr">
        <is>
          <t>(outro)</t>
        </is>
      </c>
      <c r="G76" s="8" t="inlineStr">
        <is>
          <t>Assessor Especial de Planejamento Diplomático e o Assessor Especial de Imprensa</t>
        </is>
      </c>
      <c r="H76" s="8" t="inlineStr">
        <is>
          <t>Gabinete</t>
        </is>
      </c>
      <c r="I76" s="8" t="inlineStr">
        <is>
          <t>Excluído — falso positivo lexical</t>
        </is>
      </c>
      <c r="J76" s="8" t="inlineStr">
        <is>
          <t>Homônimo ou termo fora de contexto (Ramos; 'Planejamento Diplomático'; 'Fazenda da Esperança'; G20 'Economia e Saúde Global').</t>
        </is>
      </c>
      <c r="K76" s="8" t="inlineStr"/>
      <c r="L76" s="8" t="inlineStr"/>
      <c r="M76" s="8" t="inlineStr">
        <is>
          <t>https://www.gov.br/mre/pt-br/agendas/agendas-de-autoridades-anteriores/agenda-antiga-carlos-alberto-franco-franca/2022-06-20</t>
        </is>
      </c>
    </row>
    <row r="77">
      <c r="A77" s="8" t="n">
        <v>76</v>
      </c>
      <c r="B77" s="9" t="n">
        <v>44732</v>
      </c>
      <c r="C77" s="8" t="inlineStr">
        <is>
          <t>11:30</t>
        </is>
      </c>
      <c r="D77" s="8" t="inlineStr">
        <is>
          <t>Ministro de Estado</t>
        </is>
      </c>
      <c r="E77" s="8" t="inlineStr">
        <is>
          <t>Carlos Alberto Franco França</t>
        </is>
      </c>
      <c r="F77" s="8" t="inlineStr">
        <is>
          <t>Casa Civil (Luiz Eduardo Ramos, SEGOV/SGPR)</t>
        </is>
      </c>
      <c r="G77" s="8" t="inlineStr">
        <is>
          <t>Ministro-chefe da Secretaria-Geral da Presidência da República, Luiz Eduardo Ramos</t>
        </is>
      </c>
      <c r="H77" s="8" t="inlineStr">
        <is>
          <t>Gabinete</t>
        </is>
      </c>
      <c r="I77" s="8" t="inlineStr">
        <is>
          <t>Excluído — órgão fora do escopo</t>
        </is>
      </c>
      <c r="J77" s="8" t="inlineStr">
        <is>
          <t>Órgão não coberto pelo relatório (SEGOV, SGPR, AGU, CGU, BNDES, MGI, Gabinete da PR).</t>
        </is>
      </c>
      <c r="K77" s="8" t="inlineStr"/>
      <c r="L77" s="8" t="inlineStr"/>
      <c r="M77" s="8" t="inlineStr">
        <is>
          <t>https://www.gov.br/mre/pt-br/agendas/agendas-de-autoridades-anteriores/agenda-antiga-carlos-alberto-franco-franca/2022-06-20</t>
        </is>
      </c>
    </row>
    <row r="78">
      <c r="A78" s="8" t="n">
        <v>77</v>
      </c>
      <c r="B78" s="9" t="n">
        <v>44734</v>
      </c>
      <c r="C78" s="8" t="inlineStr">
        <is>
          <t>10:00</t>
        </is>
      </c>
      <c r="D78" s="8" t="inlineStr">
        <is>
          <t>Ministro de Estado</t>
        </is>
      </c>
      <c r="E78" s="8" t="inlineStr">
        <is>
          <t>Carlos Alberto Franco França</t>
        </is>
      </c>
      <c r="F78" s="8" t="inlineStr">
        <is>
          <t>(outro)</t>
        </is>
      </c>
      <c r="G78" s="8" t="inlineStr">
        <is>
          <t>Assessor Especial de Planejamento Diplomático e o Assessor Especial de Imprensa</t>
        </is>
      </c>
      <c r="H78" s="8" t="inlineStr">
        <is>
          <t>Gabinete</t>
        </is>
      </c>
      <c r="I78" s="8" t="inlineStr">
        <is>
          <t>Excluído — falso positivo lexical</t>
        </is>
      </c>
      <c r="J78" s="8" t="inlineStr">
        <is>
          <t>Homônimo ou termo fora de contexto (Ramos; 'Planejamento Diplomático'; 'Fazenda da Esperança'; G20 'Economia e Saúde Global').</t>
        </is>
      </c>
      <c r="K78" s="8" t="inlineStr"/>
      <c r="L78" s="8" t="inlineStr"/>
      <c r="M78" s="8" t="inlineStr">
        <is>
          <t>https://www.gov.br/mre/pt-br/agendas/agendas-de-autoridades-anteriores/agenda-antiga-carlos-alberto-franco-franca/2022-06-22</t>
        </is>
      </c>
    </row>
    <row r="79">
      <c r="A79" s="8" t="n">
        <v>78</v>
      </c>
      <c r="B79" s="9" t="n">
        <v>44735</v>
      </c>
      <c r="C79" s="8" t="inlineStr">
        <is>
          <t>17:30</t>
        </is>
      </c>
      <c r="D79" s="8" t="inlineStr">
        <is>
          <t>Ministro de Estado</t>
        </is>
      </c>
      <c r="E79" s="8" t="inlineStr">
        <is>
          <t>Carlos Alberto Franco França</t>
        </is>
      </c>
      <c r="F79" s="8" t="inlineStr">
        <is>
          <t>Ministério da Economia</t>
        </is>
      </c>
      <c r="G79" s="8" t="inlineStr">
        <is>
          <t>Secretária de Produtividade e Competitividade do Ministério da Economia, Daniella Marques</t>
        </is>
      </c>
      <c r="H79" s="8" t="inlineStr">
        <is>
          <t>Ministério da Economia - Esplanada dos Ministérios, Bloco J, 6º andar</t>
        </is>
      </c>
      <c r="I79" s="8" t="inlineStr">
        <is>
          <t>Mantido</t>
        </is>
      </c>
      <c r="J79" s="8" t="inlineStr">
        <is>
          <t>Interlocutor de órgão do escopo; título sem tema de política externa; composição aparentemente restrita.</t>
        </is>
      </c>
      <c r="K79" s="8" t="inlineStr"/>
      <c r="L79" s="8" t="n">
        <v>43</v>
      </c>
      <c r="M79" s="8" t="inlineStr">
        <is>
          <t>https://www.gov.br/mre/pt-br/agendas/agendas-de-autoridades-anteriores/agenda-antiga-carlos-alberto-franco-franca/2022-06-23</t>
        </is>
      </c>
    </row>
    <row r="80">
      <c r="A80" s="8" t="n">
        <v>79</v>
      </c>
      <c r="B80" s="9" t="n">
        <v>44736</v>
      </c>
      <c r="C80" s="8" t="inlineStr">
        <is>
          <t>09:45</t>
        </is>
      </c>
      <c r="D80" s="8" t="inlineStr">
        <is>
          <t>Ministro de Estado</t>
        </is>
      </c>
      <c r="E80" s="8" t="inlineStr">
        <is>
          <t>Carlos Alberto Franco França</t>
        </is>
      </c>
      <c r="F80" s="8" t="inlineStr">
        <is>
          <t>(outro)</t>
        </is>
      </c>
      <c r="G80" s="8" t="inlineStr">
        <is>
          <t>Assessor Especial de Planejamento Diplomático e o Assessor Especial de Imprensa</t>
        </is>
      </c>
      <c r="H80" s="8" t="inlineStr">
        <is>
          <t>Gabinete</t>
        </is>
      </c>
      <c r="I80" s="8" t="inlineStr">
        <is>
          <t>Excluído — falso positivo lexical</t>
        </is>
      </c>
      <c r="J80" s="8" t="inlineStr">
        <is>
          <t>Homônimo ou termo fora de contexto (Ramos; 'Planejamento Diplomático'; 'Fazenda da Esperança'; G20 'Economia e Saúde Global').</t>
        </is>
      </c>
      <c r="K80" s="8" t="inlineStr"/>
      <c r="L80" s="8" t="inlineStr"/>
      <c r="M80" s="8" t="inlineStr">
        <is>
          <t>https://www.gov.br/mre/pt-br/agendas/agendas-de-autoridades-anteriores/agenda-antiga-carlos-alberto-franco-franca/2022-06-24</t>
        </is>
      </c>
    </row>
    <row r="81">
      <c r="A81" s="8" t="n">
        <v>80</v>
      </c>
      <c r="B81" s="9" t="n">
        <v>44741</v>
      </c>
      <c r="C81" s="8" t="inlineStr">
        <is>
          <t>09:45</t>
        </is>
      </c>
      <c r="D81" s="8" t="inlineStr">
        <is>
          <t>Ministro de Estado</t>
        </is>
      </c>
      <c r="E81" s="8" t="inlineStr">
        <is>
          <t>Carlos Alberto Franco França</t>
        </is>
      </c>
      <c r="F81" s="8" t="inlineStr">
        <is>
          <t>(outro)</t>
        </is>
      </c>
      <c r="G81" s="8" t="inlineStr">
        <is>
          <t>Assessor Especial de Planejamento Diplomático</t>
        </is>
      </c>
      <c r="H81" s="8" t="inlineStr">
        <is>
          <t>Gabinete</t>
        </is>
      </c>
      <c r="I81" s="8" t="inlineStr">
        <is>
          <t>Excluído — falso positivo lexical</t>
        </is>
      </c>
      <c r="J81" s="8" t="inlineStr">
        <is>
          <t>Homônimo ou termo fora de contexto (Ramos; 'Planejamento Diplomático'; 'Fazenda da Esperança'; G20 'Economia e Saúde Global').</t>
        </is>
      </c>
      <c r="K81" s="8" t="inlineStr"/>
      <c r="L81" s="8" t="inlineStr"/>
      <c r="M81" s="8" t="inlineStr">
        <is>
          <t>https://www.gov.br/mre/pt-br/agendas/agendas-de-autoridades-anteriores/agenda-antiga-carlos-alberto-franco-franca/2022-06-29</t>
        </is>
      </c>
    </row>
    <row r="82">
      <c r="A82" s="8" t="n">
        <v>81</v>
      </c>
      <c r="B82" s="9" t="n">
        <v>44742</v>
      </c>
      <c r="C82" s="8" t="inlineStr">
        <is>
          <t>09:45</t>
        </is>
      </c>
      <c r="D82" s="8" t="inlineStr">
        <is>
          <t>Ministro de Estado</t>
        </is>
      </c>
      <c r="E82" s="8" t="inlineStr">
        <is>
          <t>Carlos Alberto Franco França</t>
        </is>
      </c>
      <c r="F82" s="8" t="inlineStr">
        <is>
          <t>(outro)</t>
        </is>
      </c>
      <c r="G82" s="8" t="inlineStr">
        <is>
          <t>Assessor Especial de Planejamento Diplomático</t>
        </is>
      </c>
      <c r="H82" s="8" t="inlineStr">
        <is>
          <t>Gabinete</t>
        </is>
      </c>
      <c r="I82" s="8" t="inlineStr">
        <is>
          <t>Excluído — falso positivo lexical</t>
        </is>
      </c>
      <c r="J82" s="8" t="inlineStr">
        <is>
          <t>Homônimo ou termo fora de contexto (Ramos; 'Planejamento Diplomático'; 'Fazenda da Esperança'; G20 'Economia e Saúde Global').</t>
        </is>
      </c>
      <c r="K82" s="8" t="inlineStr"/>
      <c r="L82" s="8" t="inlineStr"/>
      <c r="M82" s="8" t="inlineStr">
        <is>
          <t>https://www.gov.br/mre/pt-br/agendas/agendas-de-autoridades-anteriores/agenda-antiga-carlos-alberto-franco-franca/2022-06-30</t>
        </is>
      </c>
    </row>
    <row r="83">
      <c r="A83" s="8" t="n">
        <v>82</v>
      </c>
      <c r="B83" s="9" t="n">
        <v>44749</v>
      </c>
      <c r="C83" s="8" t="inlineStr">
        <is>
          <t>16:00</t>
        </is>
      </c>
      <c r="D83" s="8" t="inlineStr">
        <is>
          <t>Secretário-Geral</t>
        </is>
      </c>
      <c r="E83" s="8" t="inlineStr">
        <is>
          <t>Fernando Simas Magalhães</t>
        </is>
      </c>
      <c r="F83" s="8" t="inlineStr">
        <is>
          <t>Ministério da Economia</t>
        </is>
      </c>
      <c r="G83" s="8" t="inlineStr">
        <is>
          <t>Dr. Marcelo Pacheco dos Guaranys, Secretário-Executivo do Ministério da Economia</t>
        </is>
      </c>
      <c r="H83" s="8" t="inlineStr">
        <is>
          <t>Secretaria-Geral</t>
        </is>
      </c>
      <c r="I83" s="8" t="inlineStr">
        <is>
          <t>Mantido</t>
        </is>
      </c>
      <c r="J83" s="8" t="inlineStr">
        <is>
          <t>Interlocutor de órgão do escopo; título sem tema de política externa; composição aparentemente restrita.</t>
        </is>
      </c>
      <c r="K83" s="8" t="inlineStr"/>
      <c r="L83" s="8" t="n">
        <v>44</v>
      </c>
      <c r="M83" s="8" t="inlineStr">
        <is>
          <t>https://www.gov.br/mre/pt-br/agendas/agendas-de-autoridades-anteriores/agenda-antiga-fernando-simas-magalhaes/2022-07-07</t>
        </is>
      </c>
    </row>
    <row r="84">
      <c r="A84" s="8" t="n">
        <v>83</v>
      </c>
      <c r="B84" s="9" t="n">
        <v>44761</v>
      </c>
      <c r="C84" s="8" t="inlineStr">
        <is>
          <t>09:45</t>
        </is>
      </c>
      <c r="D84" s="8" t="inlineStr">
        <is>
          <t>Ministro de Estado</t>
        </is>
      </c>
      <c r="E84" s="8" t="inlineStr">
        <is>
          <t>Carlos Alberto Franco França</t>
        </is>
      </c>
      <c r="F84" s="8" t="inlineStr">
        <is>
          <t>(outro)</t>
        </is>
      </c>
      <c r="G84" s="8" t="inlineStr">
        <is>
          <t>Assessor Especial de Imprensa e o Assessor Especial de Planejamento Diplomático</t>
        </is>
      </c>
      <c r="H84" s="8" t="inlineStr">
        <is>
          <t>Gabinete</t>
        </is>
      </c>
      <c r="I84" s="8" t="inlineStr">
        <is>
          <t>Excluído — falso positivo lexical</t>
        </is>
      </c>
      <c r="J84" s="8" t="inlineStr">
        <is>
          <t>Homônimo ou termo fora de contexto (Ramos; 'Planejamento Diplomático'; 'Fazenda da Esperança'; G20 'Economia e Saúde Global').</t>
        </is>
      </c>
      <c r="K84" s="8" t="inlineStr"/>
      <c r="L84" s="8" t="inlineStr"/>
      <c r="M84" s="8" t="inlineStr">
        <is>
          <t>https://www.gov.br/mre/pt-br/agendas/agendas-de-autoridades-anteriores/agenda-antiga-carlos-alberto-franco-franca/2022-07-19</t>
        </is>
      </c>
    </row>
    <row r="85">
      <c r="A85" s="8" t="n">
        <v>84</v>
      </c>
      <c r="B85" s="9" t="n">
        <v>44761</v>
      </c>
      <c r="C85" s="8" t="inlineStr">
        <is>
          <t>11:00</t>
        </is>
      </c>
      <c r="D85" s="8" t="inlineStr">
        <is>
          <t>Ministro de Estado</t>
        </is>
      </c>
      <c r="E85" s="8" t="inlineStr">
        <is>
          <t>Carlos Alberto Franco França</t>
        </is>
      </c>
      <c r="F85" s="8" t="inlineStr">
        <is>
          <t>(outro)</t>
        </is>
      </c>
      <c r="G85" s="8" t="inlineStr">
        <is>
          <t>Secretário das Américas, Embaixador Pedro Miguel da Costa e Silva, o Diretor do Departamento do Mercosul, Embaixador Michel Arslanian Neto, e o Assessor Especial de Planejamento Diplomático, Embaixador Sérgio Rodrigues dos Santos</t>
        </is>
      </c>
      <c r="H85" s="8" t="inlineStr">
        <is>
          <t>Gabinete</t>
        </is>
      </c>
      <c r="I85" s="8" t="inlineStr">
        <is>
          <t>Excluído — falso positivo lexical</t>
        </is>
      </c>
      <c r="J85" s="8" t="inlineStr">
        <is>
          <t>Homônimo ou termo fora de contexto (Ramos; 'Planejamento Diplomático'; 'Fazenda da Esperança'; G20 'Economia e Saúde Global').</t>
        </is>
      </c>
      <c r="K85" s="8" t="inlineStr"/>
      <c r="L85" s="8" t="inlineStr"/>
      <c r="M85" s="8" t="inlineStr">
        <is>
          <t>https://www.gov.br/mre/pt-br/agendas/agendas-de-autoridades-anteriores/agenda-antiga-carlos-alberto-franco-franca/2022-07-19</t>
        </is>
      </c>
    </row>
    <row r="86">
      <c r="A86" s="8" t="n">
        <v>85</v>
      </c>
      <c r="B86" s="9" t="n">
        <v>44767</v>
      </c>
      <c r="C86" s="8" t="inlineStr">
        <is>
          <t>10:30</t>
        </is>
      </c>
      <c r="D86" s="8" t="inlineStr">
        <is>
          <t>Ministro de Estado</t>
        </is>
      </c>
      <c r="E86" s="8" t="inlineStr">
        <is>
          <t>Carlos Alberto Franco França</t>
        </is>
      </c>
      <c r="F86" s="8" t="inlineStr">
        <is>
          <t>(outro)</t>
        </is>
      </c>
      <c r="G86" s="8" t="inlineStr">
        <is>
          <t>Assessor Especial de Imprensa e Assessor Especial de Planejamento Diplomático</t>
        </is>
      </c>
      <c r="H86" s="8" t="inlineStr">
        <is>
          <t>Gabinete</t>
        </is>
      </c>
      <c r="I86" s="8" t="inlineStr">
        <is>
          <t>Excluído — falso positivo lexical</t>
        </is>
      </c>
      <c r="J86" s="8" t="inlineStr">
        <is>
          <t>Homônimo ou termo fora de contexto (Ramos; 'Planejamento Diplomático'; 'Fazenda da Esperança'; G20 'Economia e Saúde Global').</t>
        </is>
      </c>
      <c r="K86" s="8" t="inlineStr"/>
      <c r="L86" s="8" t="inlineStr"/>
      <c r="M86" s="8" t="inlineStr">
        <is>
          <t>https://www.gov.br/mre/pt-br/agendas/agendas-de-autoridades-anteriores/agenda-antiga-carlos-alberto-franco-franca/2022-07-25</t>
        </is>
      </c>
    </row>
    <row r="87">
      <c r="A87" s="8" t="n">
        <v>86</v>
      </c>
      <c r="B87" s="9" t="n">
        <v>44770</v>
      </c>
      <c r="C87" s="8" t="inlineStr">
        <is>
          <t>09:45</t>
        </is>
      </c>
      <c r="D87" s="8" t="inlineStr">
        <is>
          <t>Ministro de Estado</t>
        </is>
      </c>
      <c r="E87" s="8" t="inlineStr">
        <is>
          <t>Carlos Alberto Franco França</t>
        </is>
      </c>
      <c r="F87" s="8" t="inlineStr">
        <is>
          <t>(outro)</t>
        </is>
      </c>
      <c r="G87" s="8" t="inlineStr">
        <is>
          <t>Assessor Especial de Imprensa e Assessor Especial de Planejamento Diplomático</t>
        </is>
      </c>
      <c r="H87" s="8" t="inlineStr">
        <is>
          <t>Gabinete</t>
        </is>
      </c>
      <c r="I87" s="8" t="inlineStr">
        <is>
          <t>Excluído — falso positivo lexical</t>
        </is>
      </c>
      <c r="J87" s="8" t="inlineStr">
        <is>
          <t>Homônimo ou termo fora de contexto (Ramos; 'Planejamento Diplomático'; 'Fazenda da Esperança'; G20 'Economia e Saúde Global').</t>
        </is>
      </c>
      <c r="K87" s="8" t="inlineStr"/>
      <c r="L87" s="8" t="inlineStr"/>
      <c r="M87" s="8" t="inlineStr">
        <is>
          <t>https://www.gov.br/mre/pt-br/agendas/agendas-de-autoridades-anteriores/agenda-antiga-carlos-alberto-franco-franca/2022-07-28</t>
        </is>
      </c>
    </row>
    <row r="88">
      <c r="A88" s="8" t="n">
        <v>87</v>
      </c>
      <c r="B88" s="9" t="n">
        <v>44771</v>
      </c>
      <c r="C88" s="8" t="inlineStr">
        <is>
          <t>09:45</t>
        </is>
      </c>
      <c r="D88" s="8" t="inlineStr">
        <is>
          <t>Ministro de Estado</t>
        </is>
      </c>
      <c r="E88" s="8" t="inlineStr">
        <is>
          <t>Carlos Alberto Franco França</t>
        </is>
      </c>
      <c r="F88" s="8" t="inlineStr">
        <is>
          <t>(outro)</t>
        </is>
      </c>
      <c r="G88" s="8" t="inlineStr">
        <is>
          <t>Assessor Especial de Imprensa e Assessor Especial de Planejamento Diplomático</t>
        </is>
      </c>
      <c r="H88" s="8" t="inlineStr">
        <is>
          <t>Gabinete</t>
        </is>
      </c>
      <c r="I88" s="8" t="inlineStr">
        <is>
          <t>Excluído — falso positivo lexical</t>
        </is>
      </c>
      <c r="J88" s="8" t="inlineStr">
        <is>
          <t>Homônimo ou termo fora de contexto (Ramos; 'Planejamento Diplomático'; 'Fazenda da Esperança'; G20 'Economia e Saúde Global').</t>
        </is>
      </c>
      <c r="K88" s="8" t="inlineStr"/>
      <c r="L88" s="8" t="inlineStr"/>
      <c r="M88" s="8" t="inlineStr">
        <is>
          <t>https://www.gov.br/mre/pt-br/agendas/agendas-de-autoridades-anteriores/agenda-antiga-carlos-alberto-franco-franca/2022-07-29</t>
        </is>
      </c>
    </row>
    <row r="89">
      <c r="A89" s="8" t="n">
        <v>88</v>
      </c>
      <c r="B89" s="9" t="n">
        <v>44774</v>
      </c>
      <c r="C89" s="8" t="inlineStr">
        <is>
          <t>10:30</t>
        </is>
      </c>
      <c r="D89" s="8" t="inlineStr">
        <is>
          <t>Ministro de Estado</t>
        </is>
      </c>
      <c r="E89" s="8" t="inlineStr">
        <is>
          <t>Carlos Alberto Franco França</t>
        </is>
      </c>
      <c r="F89" s="8" t="inlineStr">
        <is>
          <t>(outro)</t>
        </is>
      </c>
      <c r="G89" s="8" t="inlineStr">
        <is>
          <t>Assessor Especial de Imprensa e Assessor Especial de Planejamento Diplomático</t>
        </is>
      </c>
      <c r="H89" s="8" t="inlineStr">
        <is>
          <t>Gabinete</t>
        </is>
      </c>
      <c r="I89" s="8" t="inlineStr">
        <is>
          <t>Excluído — falso positivo lexical</t>
        </is>
      </c>
      <c r="J89" s="8" t="inlineStr">
        <is>
          <t>Homônimo ou termo fora de contexto (Ramos; 'Planejamento Diplomático'; 'Fazenda da Esperança'; G20 'Economia e Saúde Global').</t>
        </is>
      </c>
      <c r="K89" s="8" t="inlineStr"/>
      <c r="L89" s="8" t="inlineStr"/>
      <c r="M89" s="8" t="inlineStr">
        <is>
          <t>https://www.gov.br/mre/pt-br/agendas/agendas-de-autoridades-anteriores/agenda-antiga-carlos-alberto-franco-franca/2022-08-01</t>
        </is>
      </c>
    </row>
    <row r="90">
      <c r="A90" s="8" t="n">
        <v>89</v>
      </c>
      <c r="B90" s="9" t="n">
        <v>44776</v>
      </c>
      <c r="C90" s="8" t="inlineStr">
        <is>
          <t>09:45</t>
        </is>
      </c>
      <c r="D90" s="8" t="inlineStr">
        <is>
          <t>Ministro de Estado</t>
        </is>
      </c>
      <c r="E90" s="8" t="inlineStr">
        <is>
          <t>Carlos Alberto Franco França</t>
        </is>
      </c>
      <c r="F90" s="8" t="inlineStr">
        <is>
          <t>(outro)</t>
        </is>
      </c>
      <c r="G90" s="8" t="inlineStr">
        <is>
          <t>Assessor Especial de Imprensa e Assessor Especial, Substituto, de Planejamento Diplomático</t>
        </is>
      </c>
      <c r="H90" s="8" t="inlineStr">
        <is>
          <t>Gabinete</t>
        </is>
      </c>
      <c r="I90" s="8" t="inlineStr">
        <is>
          <t>Excluído — falso positivo lexical</t>
        </is>
      </c>
      <c r="J90" s="8" t="inlineStr">
        <is>
          <t>Homônimo ou termo fora de contexto (Ramos; 'Planejamento Diplomático'; 'Fazenda da Esperança'; G20 'Economia e Saúde Global').</t>
        </is>
      </c>
      <c r="K90" s="8" t="inlineStr"/>
      <c r="L90" s="8" t="inlineStr"/>
      <c r="M90" s="8" t="inlineStr">
        <is>
          <t>https://www.gov.br/mre/pt-br/agendas/agendas-de-autoridades-anteriores/agenda-antiga-carlos-alberto-franco-franca/2022-08-03</t>
        </is>
      </c>
    </row>
    <row r="91">
      <c r="A91" s="8" t="n">
        <v>90</v>
      </c>
      <c r="B91" s="9" t="n">
        <v>44783</v>
      </c>
      <c r="C91" s="8" t="inlineStr">
        <is>
          <t>13:00</t>
        </is>
      </c>
      <c r="D91" s="8" t="inlineStr">
        <is>
          <t>Ministro de Estado</t>
        </is>
      </c>
      <c r="E91" s="8" t="inlineStr">
        <is>
          <t>Carlos Alberto Franco França</t>
        </is>
      </c>
      <c r="F91" s="8" t="inlineStr">
        <is>
          <t>Ministério da Economia — Receita Federal</t>
        </is>
      </c>
      <c r="G91" s="8" t="inlineStr">
        <is>
          <t>Almoço oferecido ao Secretário Especial da Receita Federal do Brasil, Julio Cesar Vieira Gomes</t>
        </is>
      </c>
      <c r="H91" s="8" t="inlineStr">
        <is>
          <t>Palácio Itamaraty</t>
        </is>
      </c>
      <c r="I91" s="8" t="inlineStr">
        <is>
          <t>Mantido</t>
        </is>
      </c>
      <c r="J91" s="8" t="inlineStr">
        <is>
          <t>Interlocutor de órgão do escopo; título sem tema de política externa; composição aparentemente restrita.</t>
        </is>
      </c>
      <c r="K91" s="8" t="inlineStr">
        <is>
          <t>Almoço; porte não verificável (a agenda gov.br não lista participantes). A Receita Federal integra o Ministério da Economia (sucessor da Fazenda); relevância orçamentária indireta.</t>
        </is>
      </c>
      <c r="L91" s="8" t="n">
        <v>45</v>
      </c>
      <c r="M91" s="8" t="inlineStr">
        <is>
          <t>https://www.gov.br/mre/pt-br/agendas/agendas-de-autoridades-anteriores/agenda-antiga-carlos-alberto-franco-franca/2022-08-10</t>
        </is>
      </c>
    </row>
    <row r="92">
      <c r="A92" s="8" t="n">
        <v>91</v>
      </c>
      <c r="B92" s="9" t="n">
        <v>44783</v>
      </c>
      <c r="C92" s="8" t="inlineStr">
        <is>
          <t>13:00</t>
        </is>
      </c>
      <c r="D92" s="8" t="inlineStr">
        <is>
          <t>Secretário-Geral</t>
        </is>
      </c>
      <c r="E92" s="8" t="inlineStr">
        <is>
          <t>Fernando Simas Magalhães</t>
        </is>
      </c>
      <c r="F92" s="8" t="inlineStr">
        <is>
          <t>Ministério da Economia — Receita Federal</t>
        </is>
      </c>
      <c r="G92" s="8" t="inlineStr">
        <is>
          <t>Acompanha o Ministro das Relações Exteriores, Embaixador Carlos Alberto Franco França, em almoço oferecido ao Secretário Especial da Receita Federal do Brasil, Julio Cesar Vieira Gomes</t>
        </is>
      </c>
      <c r="H92" s="8" t="inlineStr">
        <is>
          <t>Sala Bahia – Palácio Itamaraty</t>
        </is>
      </c>
      <c r="I92" s="8" t="inlineStr">
        <is>
          <t>Mantido</t>
        </is>
      </c>
      <c r="J92" s="8" t="inlineStr">
        <is>
          <t>Interlocutor de órgão do escopo; título sem tema de política externa; composição aparentemente restrita.</t>
        </is>
      </c>
      <c r="K92" s="8" t="inlineStr">
        <is>
          <t>Registro da Secretaria-Geral do mesmo evento da agenda do Ministro de Estado. Almoço; porte não verificável (a agenda gov.br não lista participantes). A Receita Federal integra o Ministério da Economia (sucessor da Fazenda); relevância orçamentária indireta.</t>
        </is>
      </c>
      <c r="L92" s="8" t="n">
        <v>45</v>
      </c>
      <c r="M92" s="8" t="inlineStr">
        <is>
          <t>https://www.gov.br/mre/pt-br/agendas/agendas-de-autoridades-anteriores/agenda-antiga-fernando-simas-magalhaes/2022-08-10</t>
        </is>
      </c>
    </row>
    <row r="93">
      <c r="A93" s="8" t="n">
        <v>92</v>
      </c>
      <c r="B93" s="9" t="n">
        <v>44785</v>
      </c>
      <c r="C93" s="8" t="inlineStr">
        <is>
          <t>09:45</t>
        </is>
      </c>
      <c r="D93" s="8" t="inlineStr">
        <is>
          <t>Ministro de Estado</t>
        </is>
      </c>
      <c r="E93" s="8" t="inlineStr">
        <is>
          <t>Carlos Alberto Franco França</t>
        </is>
      </c>
      <c r="F93" s="8" t="inlineStr">
        <is>
          <t>(outro)</t>
        </is>
      </c>
      <c r="G93" s="8" t="inlineStr">
        <is>
          <t>Assessor Especial de Imprensa e Assessor Especial, Substituto, de Planejamento Diplomático</t>
        </is>
      </c>
      <c r="H93" s="8" t="inlineStr">
        <is>
          <t>Gabinete</t>
        </is>
      </c>
      <c r="I93" s="8" t="inlineStr">
        <is>
          <t>Excluído — falso positivo lexical</t>
        </is>
      </c>
      <c r="J93" s="8" t="inlineStr">
        <is>
          <t>Homônimo ou termo fora de contexto (Ramos; 'Planejamento Diplomático'; 'Fazenda da Esperança'; G20 'Economia e Saúde Global').</t>
        </is>
      </c>
      <c r="K93" s="8" t="inlineStr"/>
      <c r="L93" s="8" t="inlineStr"/>
      <c r="M93" s="8" t="inlineStr">
        <is>
          <t>https://www.gov.br/mre/pt-br/agendas/agendas-de-autoridades-anteriores/agenda-antiga-carlos-alberto-franco-franca/2022-08-12</t>
        </is>
      </c>
    </row>
    <row r="94">
      <c r="A94" s="8" t="n">
        <v>93</v>
      </c>
      <c r="B94" s="9" t="n">
        <v>44791</v>
      </c>
      <c r="C94" s="8" t="inlineStr">
        <is>
          <t>09:15</t>
        </is>
      </c>
      <c r="D94" s="8" t="inlineStr">
        <is>
          <t>Ministro de Estado</t>
        </is>
      </c>
      <c r="E94" s="8" t="inlineStr">
        <is>
          <t>Carlos Alberto Franco França</t>
        </is>
      </c>
      <c r="F94" s="8" t="inlineStr">
        <is>
          <t>(outro)</t>
        </is>
      </c>
      <c r="G94" s="8" t="inlineStr">
        <is>
          <t>Assessor Especial de Imprensa e Assessor Especial de Planejamento Diplomático</t>
        </is>
      </c>
      <c r="H94" s="8" t="inlineStr">
        <is>
          <t>Gabinete</t>
        </is>
      </c>
      <c r="I94" s="8" t="inlineStr">
        <is>
          <t>Excluído — falso positivo lexical</t>
        </is>
      </c>
      <c r="J94" s="8" t="inlineStr">
        <is>
          <t>Homônimo ou termo fora de contexto (Ramos; 'Planejamento Diplomático'; 'Fazenda da Esperança'; G20 'Economia e Saúde Global').</t>
        </is>
      </c>
      <c r="K94" s="8" t="inlineStr"/>
      <c r="L94" s="8" t="inlineStr"/>
      <c r="M94" s="8" t="inlineStr">
        <is>
          <t>https://www.gov.br/mre/pt-br/agendas/agendas-de-autoridades-anteriores/agenda-antiga-carlos-alberto-franco-franca/2022-08-18</t>
        </is>
      </c>
    </row>
    <row r="95">
      <c r="A95" s="8" t="n">
        <v>94</v>
      </c>
      <c r="B95" s="9" t="n">
        <v>44792</v>
      </c>
      <c r="C95" s="8" t="inlineStr">
        <is>
          <t>09:45</t>
        </is>
      </c>
      <c r="D95" s="8" t="inlineStr">
        <is>
          <t>Ministro de Estado</t>
        </is>
      </c>
      <c r="E95" s="8" t="inlineStr">
        <is>
          <t>Carlos Alberto Franco França</t>
        </is>
      </c>
      <c r="F95" s="8" t="inlineStr">
        <is>
          <t>(outro)</t>
        </is>
      </c>
      <c r="G95" s="8" t="inlineStr">
        <is>
          <t>Assessor Especial de Imprensa e Assessor Especial de Planejamento Diplomático</t>
        </is>
      </c>
      <c r="H95" s="8" t="inlineStr">
        <is>
          <t>Gabinete</t>
        </is>
      </c>
      <c r="I95" s="8" t="inlineStr">
        <is>
          <t>Excluído — falso positivo lexical</t>
        </is>
      </c>
      <c r="J95" s="8" t="inlineStr">
        <is>
          <t>Homônimo ou termo fora de contexto (Ramos; 'Planejamento Diplomático'; 'Fazenda da Esperança'; G20 'Economia e Saúde Global').</t>
        </is>
      </c>
      <c r="K95" s="8" t="inlineStr"/>
      <c r="L95" s="8" t="inlineStr"/>
      <c r="M95" s="8" t="inlineStr">
        <is>
          <t>https://www.gov.br/mre/pt-br/agendas/agendas-de-autoridades-anteriores/agenda-antiga-carlos-alberto-franco-franca/2022-08-19</t>
        </is>
      </c>
    </row>
    <row r="96">
      <c r="A96" s="8" t="n">
        <v>95</v>
      </c>
      <c r="B96" s="9" t="n">
        <v>44796</v>
      </c>
      <c r="C96" s="8" t="inlineStr">
        <is>
          <t>10:45</t>
        </is>
      </c>
      <c r="D96" s="8" t="inlineStr">
        <is>
          <t>Ministro de Estado</t>
        </is>
      </c>
      <c r="E96" s="8" t="inlineStr">
        <is>
          <t>Carlos Alberto Franco França</t>
        </is>
      </c>
      <c r="F96" s="8" t="inlineStr">
        <is>
          <t>(outro)</t>
        </is>
      </c>
      <c r="G96" s="8" t="inlineStr">
        <is>
          <t>Assessor Especial de Imprensa e Assessor Especial de Planejamento Diplomático</t>
        </is>
      </c>
      <c r="H96" s="8" t="inlineStr">
        <is>
          <t>Gabinete</t>
        </is>
      </c>
      <c r="I96" s="8" t="inlineStr">
        <is>
          <t>Excluído — falso positivo lexical</t>
        </is>
      </c>
      <c r="J96" s="8" t="inlineStr">
        <is>
          <t>Homônimo ou termo fora de contexto (Ramos; 'Planejamento Diplomático'; 'Fazenda da Esperança'; G20 'Economia e Saúde Global').</t>
        </is>
      </c>
      <c r="K96" s="8" t="inlineStr"/>
      <c r="L96" s="8" t="inlineStr"/>
      <c r="M96" s="8" t="inlineStr">
        <is>
          <t>https://www.gov.br/mre/pt-br/agendas/agendas-de-autoridades-anteriores/agenda-antiga-carlos-alberto-franco-franca/2022-08-23</t>
        </is>
      </c>
    </row>
    <row r="97">
      <c r="A97" s="8" t="n">
        <v>96</v>
      </c>
      <c r="B97" s="9" t="n">
        <v>44798</v>
      </c>
      <c r="C97" s="8" t="inlineStr">
        <is>
          <t>16:00</t>
        </is>
      </c>
      <c r="D97" s="8" t="inlineStr">
        <is>
          <t>Ministro de Estado</t>
        </is>
      </c>
      <c r="E97" s="8" t="inlineStr">
        <is>
          <t>Carlos Alberto Franco França</t>
        </is>
      </c>
      <c r="F97" s="8" t="inlineStr">
        <is>
          <t>Casa Civil (Luiz Eduardo Ramos, SEGOV/SGPR)</t>
        </is>
      </c>
      <c r="G97" s="8" t="inlineStr">
        <is>
          <t>Ministro de Estado Chefe da Secretaria-Geral da Presidência da República, Luiz Eduardo Ramos</t>
        </is>
      </c>
      <c r="H97" s="8" t="inlineStr">
        <is>
          <t>Gabinete</t>
        </is>
      </c>
      <c r="I97" s="8" t="inlineStr">
        <is>
          <t>Excluído — órgão fora do escopo</t>
        </is>
      </c>
      <c r="J97" s="8" t="inlineStr">
        <is>
          <t>Órgão não coberto pelo relatório (SEGOV, SGPR, AGU, CGU, BNDES, MGI, Gabinete da PR).</t>
        </is>
      </c>
      <c r="K97" s="8" t="inlineStr"/>
      <c r="L97" s="8" t="inlineStr"/>
      <c r="M97" s="8" t="inlineStr">
        <is>
          <t>https://www.gov.br/mre/pt-br/agendas/agendas-de-autoridades-anteriores/agenda-antiga-carlos-alberto-franco-franca/2022-08-25</t>
        </is>
      </c>
    </row>
    <row r="98">
      <c r="A98" s="8" t="n">
        <v>97</v>
      </c>
      <c r="B98" s="9" t="n">
        <v>44799</v>
      </c>
      <c r="C98" s="8" t="inlineStr">
        <is>
          <t>10:00</t>
        </is>
      </c>
      <c r="D98" s="8" t="inlineStr">
        <is>
          <t>Ministro de Estado</t>
        </is>
      </c>
      <c r="E98" s="8" t="inlineStr">
        <is>
          <t>Carlos Alberto Franco França</t>
        </is>
      </c>
      <c r="F98" s="8" t="inlineStr">
        <is>
          <t>(outro)</t>
        </is>
      </c>
      <c r="G98" s="8" t="inlineStr">
        <is>
          <t>Assessor Especial de Imprensa e Assessor Especial de Planejamento Diplomático</t>
        </is>
      </c>
      <c r="H98" s="8" t="inlineStr">
        <is>
          <t>Gabinete</t>
        </is>
      </c>
      <c r="I98" s="8" t="inlineStr">
        <is>
          <t>Excluído — falso positivo lexical</t>
        </is>
      </c>
      <c r="J98" s="8" t="inlineStr">
        <is>
          <t>Homônimo ou termo fora de contexto (Ramos; 'Planejamento Diplomático'; 'Fazenda da Esperança'; G20 'Economia e Saúde Global').</t>
        </is>
      </c>
      <c r="K98" s="8" t="inlineStr"/>
      <c r="L98" s="8" t="inlineStr"/>
      <c r="M98" s="8" t="inlineStr">
        <is>
          <t>https://www.gov.br/mre/pt-br/agendas/agendas-de-autoridades-anteriores/agenda-antiga-carlos-alberto-franco-franca/2022-08-26</t>
        </is>
      </c>
    </row>
    <row r="99">
      <c r="A99" s="8" t="n">
        <v>98</v>
      </c>
      <c r="B99" s="9" t="n">
        <v>44806</v>
      </c>
      <c r="C99" s="8" t="inlineStr">
        <is>
          <t>09:45</t>
        </is>
      </c>
      <c r="D99" s="8" t="inlineStr">
        <is>
          <t>Ministro de Estado</t>
        </is>
      </c>
      <c r="E99" s="8" t="inlineStr">
        <is>
          <t>Carlos Alberto Franco França</t>
        </is>
      </c>
      <c r="F99" s="8" t="inlineStr">
        <is>
          <t>(outro)</t>
        </is>
      </c>
      <c r="G99" s="8" t="inlineStr">
        <is>
          <t>Assessor Especial de Planejamento Diplomático</t>
        </is>
      </c>
      <c r="H99" s="8" t="inlineStr">
        <is>
          <t>Gabinete</t>
        </is>
      </c>
      <c r="I99" s="8" t="inlineStr">
        <is>
          <t>Excluído — falso positivo lexical</t>
        </is>
      </c>
      <c r="J99" s="8" t="inlineStr">
        <is>
          <t>Homônimo ou termo fora de contexto (Ramos; 'Planejamento Diplomático'; 'Fazenda da Esperança'; G20 'Economia e Saúde Global').</t>
        </is>
      </c>
      <c r="K99" s="8" t="inlineStr"/>
      <c r="L99" s="8" t="inlineStr"/>
      <c r="M99" s="8" t="inlineStr">
        <is>
          <t>https://www.gov.br/mre/pt-br/agendas/agendas-de-autoridades-anteriores/agenda-antiga-carlos-alberto-franco-franca/2022-09-02</t>
        </is>
      </c>
    </row>
    <row r="100">
      <c r="A100" s="8" t="n">
        <v>99</v>
      </c>
      <c r="B100" s="9" t="n">
        <v>44812</v>
      </c>
      <c r="C100" s="8" t="inlineStr">
        <is>
          <t>12:30</t>
        </is>
      </c>
      <c r="D100" s="8" t="inlineStr">
        <is>
          <t>Ministro de Estado</t>
        </is>
      </c>
      <c r="E100" s="8" t="inlineStr">
        <is>
          <t>Carlos Alberto Franco França</t>
        </is>
      </c>
      <c r="F100" s="8" t="inlineStr">
        <is>
          <t>Casa Civil</t>
        </is>
      </c>
      <c r="G100" s="8" t="inlineStr">
        <is>
          <t>Ministro da Casa Civil de Moçambique, Constantino Alberto Bacela</t>
        </is>
      </c>
      <c r="H100" s="8" t="inlineStr">
        <is>
          <t>Gabinete</t>
        </is>
      </c>
      <c r="I100" s="8" t="inlineStr">
        <is>
          <t>Excluído — falso positivo lexical</t>
        </is>
      </c>
      <c r="J100" s="8" t="inlineStr">
        <is>
          <t>Homônimo ou termo fora de contexto (Ramos; 'Planejamento Diplomático'; 'Fazenda da Esperança'; G20 'Economia e Saúde Global').</t>
        </is>
      </c>
      <c r="K100" s="8" t="inlineStr"/>
      <c r="L100" s="8" t="inlineStr"/>
      <c r="M100" s="8" t="inlineStr">
        <is>
          <t>https://www.gov.br/mre/pt-br/agendas/agendas-de-autoridades-anteriores/agenda-antiga-carlos-alberto-franco-franca/2022-09-08</t>
        </is>
      </c>
    </row>
    <row r="101">
      <c r="A101" s="8" t="n">
        <v>100</v>
      </c>
      <c r="B101" s="9" t="n">
        <v>44813</v>
      </c>
      <c r="C101" s="8" t="inlineStr">
        <is>
          <t>10:30</t>
        </is>
      </c>
      <c r="D101" s="8" t="inlineStr">
        <is>
          <t>Ministro de Estado</t>
        </is>
      </c>
      <c r="E101" s="8" t="inlineStr">
        <is>
          <t>Carlos Alberto Franco França</t>
        </is>
      </c>
      <c r="F101" s="8" t="inlineStr">
        <is>
          <t>(outro)</t>
        </is>
      </c>
      <c r="G101" s="8" t="inlineStr">
        <is>
          <t>Assessor Especial de Imprensa e Assessor Especial de Planejamento Diplomático</t>
        </is>
      </c>
      <c r="H101" s="8" t="inlineStr">
        <is>
          <t>Gabinete</t>
        </is>
      </c>
      <c r="I101" s="8" t="inlineStr">
        <is>
          <t>Excluído — falso positivo lexical</t>
        </is>
      </c>
      <c r="J101" s="8" t="inlineStr">
        <is>
          <t>Homônimo ou termo fora de contexto (Ramos; 'Planejamento Diplomático'; 'Fazenda da Esperança'; G20 'Economia e Saúde Global').</t>
        </is>
      </c>
      <c r="K101" s="8" t="inlineStr"/>
      <c r="L101" s="8" t="inlineStr"/>
      <c r="M101" s="8" t="inlineStr">
        <is>
          <t>https://www.gov.br/mre/pt-br/agendas/agendas-de-autoridades-anteriores/agenda-antiga-carlos-alberto-franco-franca/2022-09-09</t>
        </is>
      </c>
    </row>
    <row r="102">
      <c r="A102" s="8" t="n">
        <v>101</v>
      </c>
      <c r="B102" s="9" t="n">
        <v>44816</v>
      </c>
      <c r="C102" s="8" t="inlineStr">
        <is>
          <t>17:00</t>
        </is>
      </c>
      <c r="D102" s="8" t="inlineStr">
        <is>
          <t>Ministro de Estado</t>
        </is>
      </c>
      <c r="E102" s="8" t="inlineStr">
        <is>
          <t>Carlos Alberto Franco França</t>
        </is>
      </c>
      <c r="F102" s="8" t="inlineStr">
        <is>
          <t>(outro)</t>
        </is>
      </c>
      <c r="G102" s="8" t="inlineStr">
        <is>
          <t>Assessor Especial de Planejamento Diplomático</t>
        </is>
      </c>
      <c r="H102" s="8" t="inlineStr">
        <is>
          <t>Gabinete</t>
        </is>
      </c>
      <c r="I102" s="8" t="inlineStr">
        <is>
          <t>Excluído — falso positivo lexical</t>
        </is>
      </c>
      <c r="J102" s="8" t="inlineStr">
        <is>
          <t>Homônimo ou termo fora de contexto (Ramos; 'Planejamento Diplomático'; 'Fazenda da Esperança'; G20 'Economia e Saúde Global').</t>
        </is>
      </c>
      <c r="K102" s="8" t="inlineStr"/>
      <c r="L102" s="8" t="inlineStr"/>
      <c r="M102" s="8" t="inlineStr">
        <is>
          <t>https://www.gov.br/mre/pt-br/agendas/agendas-de-autoridades-anteriores/agenda-antiga-carlos-alberto-franco-franca/2022-09-12</t>
        </is>
      </c>
    </row>
    <row r="103">
      <c r="A103" s="8" t="n">
        <v>102</v>
      </c>
      <c r="B103" s="9" t="n">
        <v>44817</v>
      </c>
      <c r="C103" s="8" t="inlineStr">
        <is>
          <t>18:00</t>
        </is>
      </c>
      <c r="D103" s="8" t="inlineStr">
        <is>
          <t>Ministro de Estado</t>
        </is>
      </c>
      <c r="E103" s="8" t="inlineStr">
        <is>
          <t>Carlos Alberto Franco França</t>
        </is>
      </c>
      <c r="F103" s="8" t="inlineStr">
        <is>
          <t>(outro)</t>
        </is>
      </c>
      <c r="G103" s="8" t="inlineStr">
        <is>
          <t>Assessor Especial de Planejamento Diplomático</t>
        </is>
      </c>
      <c r="H103" s="8" t="inlineStr">
        <is>
          <t>Gabinete</t>
        </is>
      </c>
      <c r="I103" s="8" t="inlineStr">
        <is>
          <t>Excluído — falso positivo lexical</t>
        </is>
      </c>
      <c r="J103" s="8" t="inlineStr">
        <is>
          <t>Homônimo ou termo fora de contexto (Ramos; 'Planejamento Diplomático'; 'Fazenda da Esperança'; G20 'Economia e Saúde Global').</t>
        </is>
      </c>
      <c r="K103" s="8" t="inlineStr"/>
      <c r="L103" s="8" t="inlineStr"/>
      <c r="M103" s="8" t="inlineStr">
        <is>
          <t>https://www.gov.br/mre/pt-br/agendas/agendas-de-autoridades-anteriores/agenda-antiga-carlos-alberto-franco-franca/2022-09-13</t>
        </is>
      </c>
    </row>
    <row r="104">
      <c r="A104" s="8" t="n">
        <v>103</v>
      </c>
      <c r="B104" s="9" t="n">
        <v>44818</v>
      </c>
      <c r="C104" s="8" t="inlineStr">
        <is>
          <t>10:00</t>
        </is>
      </c>
      <c r="D104" s="8" t="inlineStr">
        <is>
          <t>Ministro de Estado</t>
        </is>
      </c>
      <c r="E104" s="8" t="inlineStr">
        <is>
          <t>Carlos Alberto Franco França</t>
        </is>
      </c>
      <c r="F104" s="8" t="inlineStr">
        <is>
          <t>(outro)</t>
        </is>
      </c>
      <c r="G104" s="8" t="inlineStr">
        <is>
          <t>Assessor Especial de Imprensa e Assessor Especial de Planejamento Diplomático</t>
        </is>
      </c>
      <c r="H104" s="8" t="inlineStr">
        <is>
          <t>Gabinete</t>
        </is>
      </c>
      <c r="I104" s="8" t="inlineStr">
        <is>
          <t>Excluído — falso positivo lexical</t>
        </is>
      </c>
      <c r="J104" s="8" t="inlineStr">
        <is>
          <t>Homônimo ou termo fora de contexto (Ramos; 'Planejamento Diplomático'; 'Fazenda da Esperança'; G20 'Economia e Saúde Global').</t>
        </is>
      </c>
      <c r="K104" s="8" t="inlineStr"/>
      <c r="L104" s="8" t="inlineStr"/>
      <c r="M104" s="8" t="inlineStr">
        <is>
          <t>https://www.gov.br/mre/pt-br/agendas/agendas-de-autoridades-anteriores/agenda-antiga-carlos-alberto-franco-franca/2022-09-14</t>
        </is>
      </c>
    </row>
    <row r="105">
      <c r="A105" s="8" t="n">
        <v>104</v>
      </c>
      <c r="B105" s="9" t="n">
        <v>44832</v>
      </c>
      <c r="C105" s="8" t="inlineStr">
        <is>
          <t>09:30</t>
        </is>
      </c>
      <c r="D105" s="8" t="inlineStr">
        <is>
          <t>Ministro de Estado</t>
        </is>
      </c>
      <c r="E105" s="8" t="inlineStr">
        <is>
          <t>Carlos Alberto Franco França</t>
        </is>
      </c>
      <c r="F105" s="8" t="inlineStr">
        <is>
          <t>(outro)</t>
        </is>
      </c>
      <c r="G105" s="8" t="inlineStr">
        <is>
          <t>Assessor Especial de Imprensa e Assessor Especial de Planejamento Diplomático</t>
        </is>
      </c>
      <c r="H105" s="8" t="inlineStr">
        <is>
          <t>Gabinete</t>
        </is>
      </c>
      <c r="I105" s="8" t="inlineStr">
        <is>
          <t>Excluído — falso positivo lexical</t>
        </is>
      </c>
      <c r="J105" s="8" t="inlineStr">
        <is>
          <t>Homônimo ou termo fora de contexto (Ramos; 'Planejamento Diplomático'; 'Fazenda da Esperança'; G20 'Economia e Saúde Global').</t>
        </is>
      </c>
      <c r="K105" s="8" t="inlineStr"/>
      <c r="L105" s="8" t="inlineStr"/>
      <c r="M105" s="8" t="inlineStr">
        <is>
          <t>https://www.gov.br/mre/pt-br/agendas/agendas-de-autoridades-anteriores/agenda-antiga-carlos-alberto-franco-franca/2022-09-28</t>
        </is>
      </c>
    </row>
    <row r="106">
      <c r="A106" s="8" t="n">
        <v>105</v>
      </c>
      <c r="B106" s="9" t="n">
        <v>44837</v>
      </c>
      <c r="C106" s="8" t="inlineStr">
        <is>
          <t>09:45</t>
        </is>
      </c>
      <c r="D106" s="8" t="inlineStr">
        <is>
          <t>Ministro de Estado</t>
        </is>
      </c>
      <c r="E106" s="8" t="inlineStr">
        <is>
          <t>Carlos Alberto Franco França</t>
        </is>
      </c>
      <c r="F106" s="8" t="inlineStr">
        <is>
          <t>(outro)</t>
        </is>
      </c>
      <c r="G106" s="8" t="inlineStr">
        <is>
          <t>Assessor Especial de Imprensa e Assessor Especial de Planejamento Diplomático</t>
        </is>
      </c>
      <c r="H106" s="8" t="inlineStr">
        <is>
          <t>Gabinete</t>
        </is>
      </c>
      <c r="I106" s="8" t="inlineStr">
        <is>
          <t>Excluído — falso positivo lexical</t>
        </is>
      </c>
      <c r="J106" s="8" t="inlineStr">
        <is>
          <t>Homônimo ou termo fora de contexto (Ramos; 'Planejamento Diplomático'; 'Fazenda da Esperança'; G20 'Economia e Saúde Global').</t>
        </is>
      </c>
      <c r="K106" s="8" t="inlineStr"/>
      <c r="L106" s="8" t="inlineStr"/>
      <c r="M106" s="8" t="inlineStr">
        <is>
          <t>https://www.gov.br/mre/pt-br/agendas/agendas-de-autoridades-anteriores/agenda-antiga-carlos-alberto-franco-franca/2022-10-03</t>
        </is>
      </c>
    </row>
    <row r="107">
      <c r="A107" s="8" t="n">
        <v>106</v>
      </c>
      <c r="B107" s="9" t="n">
        <v>44838</v>
      </c>
      <c r="C107" s="8" t="inlineStr">
        <is>
          <t>10:45</t>
        </is>
      </c>
      <c r="D107" s="8" t="inlineStr">
        <is>
          <t>Ministro de Estado</t>
        </is>
      </c>
      <c r="E107" s="8" t="inlineStr">
        <is>
          <t>Carlos Alberto Franco França</t>
        </is>
      </c>
      <c r="F107" s="8" t="inlineStr">
        <is>
          <t>(outro)</t>
        </is>
      </c>
      <c r="G107" s="8" t="inlineStr">
        <is>
          <t>Assessor Especial de Imprensa e Assessor Especial de Planejamento Diplomático</t>
        </is>
      </c>
      <c r="H107" s="8" t="inlineStr">
        <is>
          <t>Gabinete</t>
        </is>
      </c>
      <c r="I107" s="8" t="inlineStr">
        <is>
          <t>Excluído — falso positivo lexical</t>
        </is>
      </c>
      <c r="J107" s="8" t="inlineStr">
        <is>
          <t>Homônimo ou termo fora de contexto (Ramos; 'Planejamento Diplomático'; 'Fazenda da Esperança'; G20 'Economia e Saúde Global').</t>
        </is>
      </c>
      <c r="K107" s="8" t="inlineStr"/>
      <c r="L107" s="8" t="inlineStr"/>
      <c r="M107" s="8" t="inlineStr">
        <is>
          <t>https://www.gov.br/mre/pt-br/agendas/agendas-de-autoridades-anteriores/agenda-antiga-carlos-alberto-franco-franca/2022-10-04</t>
        </is>
      </c>
    </row>
    <row r="108">
      <c r="A108" s="8" t="n">
        <v>107</v>
      </c>
      <c r="B108" s="9" t="n">
        <v>44838</v>
      </c>
      <c r="C108" s="8" t="inlineStr">
        <is>
          <t>12:00</t>
        </is>
      </c>
      <c r="D108" s="8" t="inlineStr">
        <is>
          <t>Ministro de Estado</t>
        </is>
      </c>
      <c r="E108" s="8" t="inlineStr">
        <is>
          <t>Carlos Alberto Franco França</t>
        </is>
      </c>
      <c r="F108" s="8" t="inlineStr">
        <is>
          <t>Ministério da Economia</t>
        </is>
      </c>
      <c r="G108" s="8" t="inlineStr">
        <is>
          <t>Ministro de Estado da Economia, Paulo Guedes</t>
        </is>
      </c>
      <c r="H108" s="8" t="inlineStr">
        <is>
          <t>Ministério da Economia - Esplanada dos Ministérios, Bloco P, 5º andar</t>
        </is>
      </c>
      <c r="I108" s="8" t="inlineStr">
        <is>
          <t>Mantido</t>
        </is>
      </c>
      <c r="J108" s="8" t="inlineStr">
        <is>
          <t>Interlocutor de órgão do escopo; título sem tema de política externa; composição aparentemente restrita.</t>
        </is>
      </c>
      <c r="K108" s="8" t="inlineStr"/>
      <c r="L108" s="8" t="n">
        <v>46</v>
      </c>
      <c r="M108" s="8" t="inlineStr">
        <is>
          <t>https://www.gov.br/mre/pt-br/agendas/agendas-de-autoridades-anteriores/agenda-antiga-carlos-alberto-franco-franca/2022-10-04</t>
        </is>
      </c>
    </row>
    <row r="109">
      <c r="A109" s="8" t="n">
        <v>108</v>
      </c>
      <c r="B109" s="9" t="n">
        <v>44840</v>
      </c>
      <c r="C109" s="8" t="inlineStr">
        <is>
          <t>09:30</t>
        </is>
      </c>
      <c r="D109" s="8" t="inlineStr">
        <is>
          <t>Ministro de Estado</t>
        </is>
      </c>
      <c r="E109" s="8" t="inlineStr">
        <is>
          <t>Carlos Alberto Franco França</t>
        </is>
      </c>
      <c r="F109" s="8" t="inlineStr">
        <is>
          <t>(outro)</t>
        </is>
      </c>
      <c r="G109" s="8" t="inlineStr">
        <is>
          <t>Assessor Especial de Imprensa e Assessor Especial de Planejamento Diplomático</t>
        </is>
      </c>
      <c r="H109" s="8" t="inlineStr">
        <is>
          <t>Gabinete</t>
        </is>
      </c>
      <c r="I109" s="8" t="inlineStr">
        <is>
          <t>Excluído — falso positivo lexical</t>
        </is>
      </c>
      <c r="J109" s="8" t="inlineStr">
        <is>
          <t>Homônimo ou termo fora de contexto (Ramos; 'Planejamento Diplomático'; 'Fazenda da Esperança'; G20 'Economia e Saúde Global').</t>
        </is>
      </c>
      <c r="K109" s="8" t="inlineStr"/>
      <c r="L109" s="8" t="inlineStr"/>
      <c r="M109" s="8" t="inlineStr">
        <is>
          <t>https://www.gov.br/mre/pt-br/agendas/agendas-de-autoridades-anteriores/agenda-antiga-carlos-alberto-franco-franca/2022-10-06</t>
        </is>
      </c>
    </row>
    <row r="110">
      <c r="A110" s="8" t="n">
        <v>109</v>
      </c>
      <c r="B110" s="9" t="n">
        <v>44840</v>
      </c>
      <c r="C110" s="8" t="inlineStr">
        <is>
          <t>14:00</t>
        </is>
      </c>
      <c r="D110" s="8" t="inlineStr">
        <is>
          <t>Ministro de Estado</t>
        </is>
      </c>
      <c r="E110" s="8" t="inlineStr">
        <is>
          <t>Carlos Alberto Franco França</t>
        </is>
      </c>
      <c r="F110" s="8" t="inlineStr">
        <is>
          <t>Ministério da Economia — Receita Federal</t>
        </is>
      </c>
      <c r="G110" s="8" t="inlineStr">
        <is>
          <t>Secretário Especial da Receita Federal, Julio Cesar Vieira Gomes</t>
        </is>
      </c>
      <c r="H110" s="8" t="inlineStr">
        <is>
          <t>Ministério da Economia Bloco P, 7º andar</t>
        </is>
      </c>
      <c r="I110" s="8" t="inlineStr">
        <is>
          <t>Mantido</t>
        </is>
      </c>
      <c r="J110" s="8" t="inlineStr">
        <is>
          <t>Interlocutor de órgão do escopo; título sem tema de política externa; composição aparentemente restrita.</t>
        </is>
      </c>
      <c r="K110" s="8" t="inlineStr">
        <is>
          <t>A Receita Federal integra o Ministério da Economia (sucessor da Fazenda); relevância orçamentária indireta.</t>
        </is>
      </c>
      <c r="L110" s="8" t="n">
        <v>47</v>
      </c>
      <c r="M110" s="8" t="inlineStr">
        <is>
          <t>https://www.gov.br/mre/pt-br/agendas/agendas-de-autoridades-anteriores/agenda-antiga-carlos-alberto-franco-franca/2022-10-06</t>
        </is>
      </c>
    </row>
    <row r="111">
      <c r="A111" s="8" t="n">
        <v>110</v>
      </c>
      <c r="B111" s="9" t="n">
        <v>44844</v>
      </c>
      <c r="C111" s="8" t="inlineStr">
        <is>
          <t>09:45</t>
        </is>
      </c>
      <c r="D111" s="8" t="inlineStr">
        <is>
          <t>Ministro de Estado</t>
        </is>
      </c>
      <c r="E111" s="8" t="inlineStr">
        <is>
          <t>Carlos Alberto Franco França</t>
        </is>
      </c>
      <c r="F111" s="8" t="inlineStr">
        <is>
          <t>(outro)</t>
        </is>
      </c>
      <c r="G111" s="8" t="inlineStr">
        <is>
          <t>Assessor Especial de Imprensa e Assessor Especial de Planejamento Diplomático</t>
        </is>
      </c>
      <c r="H111" s="8" t="inlineStr">
        <is>
          <t>Gabinete</t>
        </is>
      </c>
      <c r="I111" s="8" t="inlineStr">
        <is>
          <t>Excluído — falso positivo lexical</t>
        </is>
      </c>
      <c r="J111" s="8" t="inlineStr">
        <is>
          <t>Homônimo ou termo fora de contexto (Ramos; 'Planejamento Diplomático'; 'Fazenda da Esperança'; G20 'Economia e Saúde Global').</t>
        </is>
      </c>
      <c r="K111" s="8" t="inlineStr"/>
      <c r="L111" s="8" t="inlineStr"/>
      <c r="M111" s="8" t="inlineStr">
        <is>
          <t>https://www.gov.br/mre/pt-br/agendas/agendas-de-autoridades-anteriores/agenda-antiga-carlos-alberto-franco-franca/2022-10-10</t>
        </is>
      </c>
    </row>
    <row r="112">
      <c r="A112" s="8" t="n">
        <v>111</v>
      </c>
      <c r="B112" s="9" t="n">
        <v>44844</v>
      </c>
      <c r="C112" s="8" t="inlineStr">
        <is>
          <t>16:00</t>
        </is>
      </c>
      <c r="D112" s="8" t="inlineStr">
        <is>
          <t>Ministro de Estado</t>
        </is>
      </c>
      <c r="E112" s="8" t="inlineStr">
        <is>
          <t>Carlos Alberto Franco França</t>
        </is>
      </c>
      <c r="F112" s="8" t="inlineStr">
        <is>
          <t>Casa Civil</t>
        </is>
      </c>
      <c r="G112" s="8" t="inlineStr">
        <is>
          <t>Telefonema com o Secretário Especial de Relações Governamentais da Casa Civil da Presidência da República, Bruno Grossi</t>
        </is>
      </c>
      <c r="H112" s="8" t="inlineStr">
        <is>
          <t>Gabinete</t>
        </is>
      </c>
      <c r="I112" s="8" t="inlineStr">
        <is>
          <t>Mantido</t>
        </is>
      </c>
      <c r="J112" s="8" t="inlineStr">
        <is>
          <t>Interlocutor de órgão do escopo; título sem tema de política externa; composição aparentemente restrita.</t>
        </is>
      </c>
      <c r="K112" s="8" t="inlineStr">
        <is>
          <t>Telefonema.</t>
        </is>
      </c>
      <c r="L112" s="8" t="n">
        <v>48</v>
      </c>
      <c r="M112" s="8" t="inlineStr">
        <is>
          <t>https://www.gov.br/mre/pt-br/agendas/agendas-de-autoridades-anteriores/agenda-antiga-carlos-alberto-franco-franca/2022-10-10</t>
        </is>
      </c>
    </row>
    <row r="113">
      <c r="A113" s="8" t="n">
        <v>112</v>
      </c>
      <c r="B113" s="9" t="n">
        <v>44844</v>
      </c>
      <c r="C113" s="8" t="inlineStr">
        <is>
          <t>16:30</t>
        </is>
      </c>
      <c r="D113" s="8" t="inlineStr">
        <is>
          <t>Ministro de Estado</t>
        </is>
      </c>
      <c r="E113" s="8" t="inlineStr">
        <is>
          <t>Carlos Alberto Franco França</t>
        </is>
      </c>
      <c r="F113" s="8" t="inlineStr">
        <is>
          <t>Ministério da Economia — Secretaria de Orçamento Federal</t>
        </is>
      </c>
      <c r="G113" s="8" t="inlineStr">
        <is>
          <t>Telefonema com o Secretário de Orçamento Federal do Ministério da Economia, Ariosto Antunes Culau</t>
        </is>
      </c>
      <c r="H113" s="8" t="inlineStr">
        <is>
          <t>Gabinete</t>
        </is>
      </c>
      <c r="I113" s="8" t="inlineStr">
        <is>
          <t>Mantido</t>
        </is>
      </c>
      <c r="J113" s="8" t="inlineStr">
        <is>
          <t>Interlocutor de órgão do escopo; título sem tema de política externa; composição aparentemente restrita.</t>
        </is>
      </c>
      <c r="K113" s="8" t="inlineStr">
        <is>
          <t>Telefonema.</t>
        </is>
      </c>
      <c r="L113" s="8" t="n">
        <v>49</v>
      </c>
      <c r="M113" s="8" t="inlineStr">
        <is>
          <t>https://www.gov.br/mre/pt-br/agendas/agendas-de-autoridades-anteriores/agenda-antiga-carlos-alberto-franco-franca/2022-10-10</t>
        </is>
      </c>
    </row>
    <row r="114">
      <c r="A114" s="8" t="n">
        <v>113</v>
      </c>
      <c r="B114" s="9" t="n">
        <v>44845</v>
      </c>
      <c r="C114" s="8" t="inlineStr">
        <is>
          <t>12:30</t>
        </is>
      </c>
      <c r="D114" s="8" t="inlineStr">
        <is>
          <t>Ministro de Estado</t>
        </is>
      </c>
      <c r="E114" s="8" t="inlineStr">
        <is>
          <t>Carlos Alberto Franco França</t>
        </is>
      </c>
      <c r="F114" s="8" t="inlineStr">
        <is>
          <t>Ministério da Fazenda</t>
        </is>
      </c>
      <c r="G114" s="8" t="inlineStr">
        <is>
          <t>Visita à Fazenda da Esperança</t>
        </is>
      </c>
      <c r="H114" s="8" t="inlineStr">
        <is>
          <t>Fazenda da Esperança</t>
        </is>
      </c>
      <c r="I114" s="8" t="inlineStr">
        <is>
          <t>Excluído — falso positivo lexical</t>
        </is>
      </c>
      <c r="J114" s="8" t="inlineStr">
        <is>
          <t>Homônimo ou termo fora de contexto (Ramos; 'Planejamento Diplomático'; 'Fazenda da Esperança'; G20 'Economia e Saúde Global').</t>
        </is>
      </c>
      <c r="K114" s="8" t="inlineStr"/>
      <c r="L114" s="8" t="inlineStr"/>
      <c r="M114" s="8" t="inlineStr">
        <is>
          <t>https://www.gov.br/mre/pt-br/agendas/agendas-de-autoridades-anteriores/agenda-antiga-carlos-alberto-franco-franca/2022-10-11</t>
        </is>
      </c>
    </row>
    <row r="115">
      <c r="A115" s="8" t="n">
        <v>114</v>
      </c>
      <c r="B115" s="9" t="n">
        <v>44847</v>
      </c>
      <c r="C115" s="8" t="inlineStr">
        <is>
          <t>09:45</t>
        </is>
      </c>
      <c r="D115" s="8" t="inlineStr">
        <is>
          <t>Ministro de Estado</t>
        </is>
      </c>
      <c r="E115" s="8" t="inlineStr">
        <is>
          <t>Carlos Alberto Franco França</t>
        </is>
      </c>
      <c r="F115" s="8" t="inlineStr">
        <is>
          <t>(outro)</t>
        </is>
      </c>
      <c r="G115" s="8" t="inlineStr">
        <is>
          <t>Assessor Especial de Imprensa e Assessor Especial de Planejamento Diplomático</t>
        </is>
      </c>
      <c r="H115" s="8" t="inlineStr">
        <is>
          <t>Gabinete</t>
        </is>
      </c>
      <c r="I115" s="8" t="inlineStr">
        <is>
          <t>Excluído — falso positivo lexical</t>
        </is>
      </c>
      <c r="J115" s="8" t="inlineStr">
        <is>
          <t>Homônimo ou termo fora de contexto (Ramos; 'Planejamento Diplomático'; 'Fazenda da Esperança'; G20 'Economia e Saúde Global').</t>
        </is>
      </c>
      <c r="K115" s="8" t="inlineStr"/>
      <c r="L115" s="8" t="inlineStr"/>
      <c r="M115" s="8" t="inlineStr">
        <is>
          <t>https://www.gov.br/mre/pt-br/agendas/agendas-de-autoridades-anteriores/agenda-antiga-carlos-alberto-franco-franca/2022-10-13</t>
        </is>
      </c>
    </row>
    <row r="116">
      <c r="A116" s="8" t="n">
        <v>115</v>
      </c>
      <c r="B116" s="9" t="n">
        <v>44848</v>
      </c>
      <c r="C116" s="8" t="inlineStr">
        <is>
          <t>10:00</t>
        </is>
      </c>
      <c r="D116" s="8" t="inlineStr">
        <is>
          <t>Ministro de Estado</t>
        </is>
      </c>
      <c r="E116" s="8" t="inlineStr">
        <is>
          <t>Carlos Alberto Franco França</t>
        </is>
      </c>
      <c r="F116" s="8" t="inlineStr">
        <is>
          <t>(outro)</t>
        </is>
      </c>
      <c r="G116" s="8" t="inlineStr">
        <is>
          <t>Assessor Especial de Imprensa e Assessor Especial, Substituto, de Planejamento Diplomático</t>
        </is>
      </c>
      <c r="H116" s="8" t="inlineStr">
        <is>
          <t>Gabinete</t>
        </is>
      </c>
      <c r="I116" s="8" t="inlineStr">
        <is>
          <t>Excluído — falso positivo lexical</t>
        </is>
      </c>
      <c r="J116" s="8" t="inlineStr">
        <is>
          <t>Homônimo ou termo fora de contexto (Ramos; 'Planejamento Diplomático'; 'Fazenda da Esperança'; G20 'Economia e Saúde Global').</t>
        </is>
      </c>
      <c r="K116" s="8" t="inlineStr"/>
      <c r="L116" s="8" t="inlineStr"/>
      <c r="M116" s="8" t="inlineStr">
        <is>
          <t>https://www.gov.br/mre/pt-br/agendas/agendas-de-autoridades-anteriores/agenda-antiga-carlos-alberto-franco-franca/2022-10-14</t>
        </is>
      </c>
    </row>
    <row r="117">
      <c r="A117" s="8" t="n">
        <v>116</v>
      </c>
      <c r="B117" s="9" t="n">
        <v>44851</v>
      </c>
      <c r="C117" s="8" t="inlineStr">
        <is>
          <t>10:00</t>
        </is>
      </c>
      <c r="D117" s="8" t="inlineStr">
        <is>
          <t>Ministro de Estado</t>
        </is>
      </c>
      <c r="E117" s="8" t="inlineStr">
        <is>
          <t>Carlos Alberto Franco França</t>
        </is>
      </c>
      <c r="F117" s="8" t="inlineStr">
        <is>
          <t>(outro)</t>
        </is>
      </c>
      <c r="G117" s="8" t="inlineStr">
        <is>
          <t>Assessor Especial de Imprensa e Assessor Especial de Planejamento Diplomático</t>
        </is>
      </c>
      <c r="H117" s="8" t="inlineStr">
        <is>
          <t>Gabinete</t>
        </is>
      </c>
      <c r="I117" s="8" t="inlineStr">
        <is>
          <t>Excluído — falso positivo lexical</t>
        </is>
      </c>
      <c r="J117" s="8" t="inlineStr">
        <is>
          <t>Homônimo ou termo fora de contexto (Ramos; 'Planejamento Diplomático'; 'Fazenda da Esperança'; G20 'Economia e Saúde Global').</t>
        </is>
      </c>
      <c r="K117" s="8" t="inlineStr"/>
      <c r="L117" s="8" t="inlineStr"/>
      <c r="M117" s="8" t="inlineStr">
        <is>
          <t>https://www.gov.br/mre/pt-br/agendas/agendas-de-autoridades-anteriores/agenda-antiga-carlos-alberto-franco-franca/2022-10-17</t>
        </is>
      </c>
    </row>
    <row r="118">
      <c r="A118" s="8" t="n">
        <v>117</v>
      </c>
      <c r="B118" s="9" t="n">
        <v>44852</v>
      </c>
      <c r="C118" s="8" t="inlineStr">
        <is>
          <t>15:00</t>
        </is>
      </c>
      <c r="D118" s="8" t="inlineStr">
        <is>
          <t>Ministro de Estado</t>
        </is>
      </c>
      <c r="E118" s="8" t="inlineStr">
        <is>
          <t>Carlos Alberto Franco França</t>
        </is>
      </c>
      <c r="F118" s="8" t="inlineStr">
        <is>
          <t>(outro)</t>
        </is>
      </c>
      <c r="G118" s="8" t="inlineStr">
        <is>
          <t>Presidente do BNDES, Gustavo Montezano</t>
        </is>
      </c>
      <c r="H118" s="8" t="inlineStr">
        <is>
          <t>Instituto Rio Branco</t>
        </is>
      </c>
      <c r="I118" s="8" t="inlineStr">
        <is>
          <t>Excluído — órgão fora do escopo</t>
        </is>
      </c>
      <c r="J118" s="8" t="inlineStr">
        <is>
          <t>Órgão não coberto pelo relatório (SEGOV, SGPR, AGU, CGU, BNDES, MGI, Gabinete da PR).</t>
        </is>
      </c>
      <c r="K118" s="8" t="inlineStr"/>
      <c r="L118" s="8" t="inlineStr"/>
      <c r="M118" s="8" t="inlineStr">
        <is>
          <t>https://www.gov.br/mre/pt-br/agendas/agendas-de-autoridades-anteriores/agenda-antiga-carlos-alberto-franco-franca/2022-10-18</t>
        </is>
      </c>
    </row>
    <row r="119">
      <c r="A119" s="8" t="n">
        <v>118</v>
      </c>
      <c r="B119" s="9" t="n">
        <v>44853</v>
      </c>
      <c r="C119" s="8" t="inlineStr">
        <is>
          <t>10:00</t>
        </is>
      </c>
      <c r="D119" s="8" t="inlineStr">
        <is>
          <t>Ministro de Estado</t>
        </is>
      </c>
      <c r="E119" s="8" t="inlineStr">
        <is>
          <t>Carlos Alberto Franco França</t>
        </is>
      </c>
      <c r="F119" s="8" t="inlineStr">
        <is>
          <t>(outro)</t>
        </is>
      </c>
      <c r="G119" s="8" t="inlineStr">
        <is>
          <t>Assessor Especial de Imprensa e Assessor Especial de Planejamento Diplomático</t>
        </is>
      </c>
      <c r="H119" s="8" t="inlineStr">
        <is>
          <t>Gabinete</t>
        </is>
      </c>
      <c r="I119" s="8" t="inlineStr">
        <is>
          <t>Excluído — falso positivo lexical</t>
        </is>
      </c>
      <c r="J119" s="8" t="inlineStr">
        <is>
          <t>Homônimo ou termo fora de contexto (Ramos; 'Planejamento Diplomático'; 'Fazenda da Esperança'; G20 'Economia e Saúde Global').</t>
        </is>
      </c>
      <c r="K119" s="8" t="inlineStr"/>
      <c r="L119" s="8" t="inlineStr"/>
      <c r="M119" s="8" t="inlineStr">
        <is>
          <t>https://www.gov.br/mre/pt-br/agendas/agendas-de-autoridades-anteriores/agenda-antiga-carlos-alberto-franco-franca/2022-10-19</t>
        </is>
      </c>
    </row>
    <row r="120">
      <c r="A120" s="8" t="n">
        <v>119</v>
      </c>
      <c r="B120" s="9" t="n">
        <v>44854</v>
      </c>
      <c r="C120" s="8" t="inlineStr">
        <is>
          <t>11:00</t>
        </is>
      </c>
      <c r="D120" s="8" t="inlineStr">
        <is>
          <t>Ministro de Estado</t>
        </is>
      </c>
      <c r="E120" s="8" t="inlineStr">
        <is>
          <t>Carlos Alberto Franco França</t>
        </is>
      </c>
      <c r="F120" s="8" t="inlineStr">
        <is>
          <t>Ministério da Economia — Receita Federal</t>
        </is>
      </c>
      <c r="G120" s="8" t="inlineStr">
        <is>
          <t>Secretário Especial da Receita Federal, Julio Cesar Vieira Gomes</t>
        </is>
      </c>
      <c r="H120" s="8" t="inlineStr">
        <is>
          <t>Sala de videoconferências</t>
        </is>
      </c>
      <c r="I120" s="8" t="inlineStr">
        <is>
          <t>Mantido</t>
        </is>
      </c>
      <c r="J120" s="8" t="inlineStr">
        <is>
          <t>Interlocutor de órgão do escopo; título sem tema de política externa; composição aparentemente restrita.</t>
        </is>
      </c>
      <c r="K120" s="8" t="inlineStr">
        <is>
          <t>Videoconferência. A Receita Federal integra o Ministério da Economia (sucessor da Fazenda); relevância orçamentária indireta.</t>
        </is>
      </c>
      <c r="L120" s="8" t="n">
        <v>50</v>
      </c>
      <c r="M120" s="8" t="inlineStr">
        <is>
          <t>https://www.gov.br/mre/pt-br/agendas/agendas-de-autoridades-anteriores/agenda-antiga-carlos-alberto-franco-franca/2022-10-20</t>
        </is>
      </c>
    </row>
    <row r="121">
      <c r="A121" s="8" t="n">
        <v>120</v>
      </c>
      <c r="B121" s="9" t="n">
        <v>44859</v>
      </c>
      <c r="C121" s="8" t="inlineStr">
        <is>
          <t>14:00</t>
        </is>
      </c>
      <c r="D121" s="8" t="inlineStr">
        <is>
          <t>Ministro de Estado</t>
        </is>
      </c>
      <c r="E121" s="8" t="inlineStr">
        <is>
          <t>Carlos Alberto Franco França</t>
        </is>
      </c>
      <c r="F121" s="8" t="inlineStr">
        <is>
          <t>(outro)</t>
        </is>
      </c>
      <c r="G121" s="8" t="inlineStr">
        <is>
          <t>Assessor Especial de Imprensa e Assessor Especial de Planejamento Diplomático</t>
        </is>
      </c>
      <c r="H121" s="8" t="inlineStr">
        <is>
          <t>Gabinete</t>
        </is>
      </c>
      <c r="I121" s="8" t="inlineStr">
        <is>
          <t>Excluído — falso positivo lexical</t>
        </is>
      </c>
      <c r="J121" s="8" t="inlineStr">
        <is>
          <t>Homônimo ou termo fora de contexto (Ramos; 'Planejamento Diplomático'; 'Fazenda da Esperança'; G20 'Economia e Saúde Global').</t>
        </is>
      </c>
      <c r="K121" s="8" t="inlineStr"/>
      <c r="L121" s="8" t="inlineStr"/>
      <c r="M121" s="8" t="inlineStr">
        <is>
          <t>https://www.gov.br/mre/pt-br/agendas/agendas-de-autoridades-anteriores/agenda-antiga-carlos-alberto-franco-franca/2022-10-25</t>
        </is>
      </c>
    </row>
    <row r="122">
      <c r="A122" s="8" t="n">
        <v>121</v>
      </c>
      <c r="B122" s="9" t="n">
        <v>44860</v>
      </c>
      <c r="C122" s="8" t="inlineStr">
        <is>
          <t>10:30</t>
        </is>
      </c>
      <c r="D122" s="8" t="inlineStr">
        <is>
          <t>Ministro de Estado</t>
        </is>
      </c>
      <c r="E122" s="8" t="inlineStr">
        <is>
          <t>Carlos Alberto Franco França</t>
        </is>
      </c>
      <c r="F122" s="8" t="inlineStr">
        <is>
          <t>(outro)</t>
        </is>
      </c>
      <c r="G122" s="8" t="inlineStr">
        <is>
          <t>Assessor Especial de Imprensa e Assessor Especial, interino, de Planejamento Diplomático</t>
        </is>
      </c>
      <c r="H122" s="8" t="inlineStr">
        <is>
          <t>Gabinete</t>
        </is>
      </c>
      <c r="I122" s="8" t="inlineStr">
        <is>
          <t>Excluído — falso positivo lexical</t>
        </is>
      </c>
      <c r="J122" s="8" t="inlineStr">
        <is>
          <t>Homônimo ou termo fora de contexto (Ramos; 'Planejamento Diplomático'; 'Fazenda da Esperança'; G20 'Economia e Saúde Global').</t>
        </is>
      </c>
      <c r="K122" s="8" t="inlineStr"/>
      <c r="L122" s="8" t="inlineStr"/>
      <c r="M122" s="8" t="inlineStr">
        <is>
          <t>https://www.gov.br/mre/pt-br/agendas/agendas-de-autoridades-anteriores/agenda-antiga-carlos-alberto-franco-franca/2022-10-26</t>
        </is>
      </c>
    </row>
    <row r="123">
      <c r="A123" s="8" t="n">
        <v>122</v>
      </c>
      <c r="B123" s="9" t="n">
        <v>44861</v>
      </c>
      <c r="C123" s="8" t="inlineStr">
        <is>
          <t>09:45</t>
        </is>
      </c>
      <c r="D123" s="8" t="inlineStr">
        <is>
          <t>Ministro de Estado</t>
        </is>
      </c>
      <c r="E123" s="8" t="inlineStr">
        <is>
          <t>Carlos Alberto Franco França</t>
        </is>
      </c>
      <c r="F123" s="8" t="inlineStr">
        <is>
          <t>(outro)</t>
        </is>
      </c>
      <c r="G123" s="8" t="inlineStr">
        <is>
          <t>Assessor Especial de Imprensa e Assessor Especial, interino, de Planejamento Diplomático</t>
        </is>
      </c>
      <c r="H123" s="8" t="inlineStr">
        <is>
          <t>Gabinete</t>
        </is>
      </c>
      <c r="I123" s="8" t="inlineStr">
        <is>
          <t>Excluído — falso positivo lexical</t>
        </is>
      </c>
      <c r="J123" s="8" t="inlineStr">
        <is>
          <t>Homônimo ou termo fora de contexto (Ramos; 'Planejamento Diplomático'; 'Fazenda da Esperança'; G20 'Economia e Saúde Global').</t>
        </is>
      </c>
      <c r="K123" s="8" t="inlineStr"/>
      <c r="L123" s="8" t="inlineStr"/>
      <c r="M123" s="8" t="inlineStr">
        <is>
          <t>https://www.gov.br/mre/pt-br/agendas/agendas-de-autoridades-anteriores/agenda-antiga-carlos-alberto-franco-franca/2022-10-27</t>
        </is>
      </c>
    </row>
    <row r="124">
      <c r="A124" s="8" t="n">
        <v>123</v>
      </c>
      <c r="B124" s="9" t="n">
        <v>44868</v>
      </c>
      <c r="C124" s="8" t="inlineStr">
        <is>
          <t>09:30</t>
        </is>
      </c>
      <c r="D124" s="8" t="inlineStr">
        <is>
          <t>Ministro de Estado</t>
        </is>
      </c>
      <c r="E124" s="8" t="inlineStr">
        <is>
          <t>Carlos Alberto Franco França</t>
        </is>
      </c>
      <c r="F124" s="8" t="inlineStr">
        <is>
          <t>(outro)</t>
        </is>
      </c>
      <c r="G124" s="8" t="inlineStr">
        <is>
          <t>Assessor Especial de Imprensa e Assessora Especial, interina, de Planejamento Diplomático</t>
        </is>
      </c>
      <c r="H124" s="8" t="inlineStr">
        <is>
          <t>Gabinete</t>
        </is>
      </c>
      <c r="I124" s="8" t="inlineStr">
        <is>
          <t>Excluído — falso positivo lexical</t>
        </is>
      </c>
      <c r="J124" s="8" t="inlineStr">
        <is>
          <t>Homônimo ou termo fora de contexto (Ramos; 'Planejamento Diplomático'; 'Fazenda da Esperança'; G20 'Economia e Saúde Global').</t>
        </is>
      </c>
      <c r="K124" s="8" t="inlineStr"/>
      <c r="L124" s="8" t="inlineStr"/>
      <c r="M124" s="8" t="inlineStr">
        <is>
          <t>https://www.gov.br/mre/pt-br/agendas/agendas-de-autoridades-anteriores/agenda-antiga-carlos-alberto-franco-franca/2022-11-03</t>
        </is>
      </c>
    </row>
    <row r="125">
      <c r="A125" s="8" t="n">
        <v>124</v>
      </c>
      <c r="B125" s="9" t="n">
        <v>44889</v>
      </c>
      <c r="C125" s="8" t="inlineStr">
        <is>
          <t>11:00</t>
        </is>
      </c>
      <c r="D125" s="8" t="inlineStr">
        <is>
          <t>Ministro de Estado</t>
        </is>
      </c>
      <c r="E125" s="8" t="inlineStr">
        <is>
          <t>Carlos Alberto Franco França</t>
        </is>
      </c>
      <c r="F125" s="8" t="inlineStr">
        <is>
          <t>Ministério da Economia</t>
        </is>
      </c>
      <c r="G125" s="8" t="inlineStr">
        <is>
          <t>Secretário Especial de Desburocratização, Gestão e Governo Digital do Ministério da Economia, Leonardo Sultani</t>
        </is>
      </c>
      <c r="H125" s="8" t="inlineStr">
        <is>
          <t>Gabinete</t>
        </is>
      </c>
      <c r="I125" s="8" t="inlineStr">
        <is>
          <t>Mantido</t>
        </is>
      </c>
      <c r="J125" s="8" t="inlineStr">
        <is>
          <t>Interlocutor de órgão do escopo; título sem tema de política externa; composição aparentemente restrita.</t>
        </is>
      </c>
      <c r="K125" s="8" t="inlineStr"/>
      <c r="L125" s="8" t="n">
        <v>51</v>
      </c>
      <c r="M125" s="8" t="inlineStr">
        <is>
          <t>https://www.gov.br/mre/pt-br/agendas/agendas-de-autoridades-anteriores/agenda-antiga-carlos-alberto-franco-franca/2022-11-24</t>
        </is>
      </c>
    </row>
    <row r="126">
      <c r="A126" s="8" t="n">
        <v>125</v>
      </c>
      <c r="B126" s="9" t="n">
        <v>44890</v>
      </c>
      <c r="C126" s="8" t="inlineStr">
        <is>
          <t>16:00</t>
        </is>
      </c>
      <c r="D126" s="8" t="inlineStr">
        <is>
          <t>Ministro de Estado</t>
        </is>
      </c>
      <c r="E126" s="8" t="inlineStr">
        <is>
          <t>Carlos Alberto Franco França</t>
        </is>
      </c>
      <c r="F126" s="8" t="inlineStr">
        <is>
          <t>Ministério da Economia</t>
        </is>
      </c>
      <c r="G126" s="8" t="inlineStr">
        <is>
          <t>Ministro de Estado da Economia, Paulo Guedes</t>
        </is>
      </c>
      <c r="H126" s="8" t="inlineStr">
        <is>
          <t>Ministério da Economia</t>
        </is>
      </c>
      <c r="I126" s="8" t="inlineStr">
        <is>
          <t>Mantido</t>
        </is>
      </c>
      <c r="J126" s="8" t="inlineStr">
        <is>
          <t>Interlocutor de órgão do escopo; título sem tema de política externa; composição aparentemente restrita.</t>
        </is>
      </c>
      <c r="K126" s="8" t="inlineStr"/>
      <c r="L126" s="8" t="n">
        <v>52</v>
      </c>
      <c r="M126" s="8" t="inlineStr">
        <is>
          <t>https://www.gov.br/mre/pt-br/agendas/agendas-de-autoridades-anteriores/agenda-antiga-carlos-alberto-franco-franca/2022-11-25</t>
        </is>
      </c>
    </row>
    <row r="127">
      <c r="A127" s="8" t="n">
        <v>126</v>
      </c>
      <c r="B127" s="9" t="n">
        <v>44895</v>
      </c>
      <c r="C127" s="8" t="inlineStr">
        <is>
          <t>10:30</t>
        </is>
      </c>
      <c r="D127" s="8" t="inlineStr">
        <is>
          <t>Ministro de Estado</t>
        </is>
      </c>
      <c r="E127" s="8" t="inlineStr">
        <is>
          <t>Carlos Alberto Franco França</t>
        </is>
      </c>
      <c r="F127" s="8" t="inlineStr">
        <is>
          <t>Casa Civil</t>
        </is>
      </c>
      <c r="G127" s="8" t="inlineStr">
        <is>
          <t>Audiência com o Ministro-Chefe da Casa Civil, Ciro Nogueira</t>
        </is>
      </c>
      <c r="H127" s="8" t="inlineStr">
        <is>
          <t>Palácio do Planalto</t>
        </is>
      </c>
      <c r="I127" s="8" t="inlineStr">
        <is>
          <t>Mantido</t>
        </is>
      </c>
      <c r="J127" s="8" t="inlineStr">
        <is>
          <t>Interlocutor de órgão do escopo; título sem tema de política externa; composição aparentemente restrita.</t>
        </is>
      </c>
      <c r="K127" s="8" t="inlineStr"/>
      <c r="L127" s="8" t="n">
        <v>53</v>
      </c>
      <c r="M127" s="8" t="inlineStr">
        <is>
          <t>https://www.gov.br/mre/pt-br/agendas/agendas-de-autoridades-anteriores/agenda-antiga-carlos-alberto-franco-franca/2022-11-30</t>
        </is>
      </c>
    </row>
    <row r="128">
      <c r="A128" s="8" t="n">
        <v>127</v>
      </c>
      <c r="B128" s="9" t="n">
        <v>44897</v>
      </c>
      <c r="C128" s="8" t="inlineStr">
        <is>
          <t>11:45</t>
        </is>
      </c>
      <c r="D128" s="8" t="inlineStr">
        <is>
          <t>Ministro de Estado</t>
        </is>
      </c>
      <c r="E128" s="8" t="inlineStr">
        <is>
          <t>Carlos Alberto Franco França</t>
        </is>
      </c>
      <c r="F128" s="8" t="inlineStr">
        <is>
          <t>Ministério da Economia</t>
        </is>
      </c>
      <c r="G128" s="8" t="inlineStr">
        <is>
          <t>Secretário-executivo do Ministério da Economia, Marcelo Pacheco dos Guaranys</t>
        </is>
      </c>
      <c r="H128" s="8" t="inlineStr">
        <is>
          <t>Ministério da Economia</t>
        </is>
      </c>
      <c r="I128" s="8" t="inlineStr">
        <is>
          <t>Mantido</t>
        </is>
      </c>
      <c r="J128" s="8" t="inlineStr">
        <is>
          <t>Interlocutor de órgão do escopo; título sem tema de política externa; composição aparentemente restrita.</t>
        </is>
      </c>
      <c r="K128" s="8" t="inlineStr"/>
      <c r="L128" s="8" t="n">
        <v>54</v>
      </c>
      <c r="M128" s="8" t="inlineStr">
        <is>
          <t>https://www.gov.br/mre/pt-br/agendas/agendas-de-autoridades-anteriores/agenda-antiga-carlos-alberto-franco-franca/2022-12-02</t>
        </is>
      </c>
    </row>
    <row r="129">
      <c r="A129" s="8" t="n">
        <v>128</v>
      </c>
      <c r="B129" s="9" t="n">
        <v>44900</v>
      </c>
      <c r="C129" s="8" t="inlineStr">
        <is>
          <t>11:00</t>
        </is>
      </c>
      <c r="D129" s="8" t="inlineStr">
        <is>
          <t>Secretário-Geral</t>
        </is>
      </c>
      <c r="E129" s="8" t="inlineStr">
        <is>
          <t>Fernando Simas Magalhães</t>
        </is>
      </c>
      <c r="F129" s="8" t="inlineStr">
        <is>
          <t>Ministério da Economia</t>
        </is>
      </c>
      <c r="G129" s="8" t="inlineStr">
        <is>
          <t>Secretário-Executivo do Ministério da Economia, Marcelo Pacheco dos Guaranys</t>
        </is>
      </c>
      <c r="H129" s="8" t="inlineStr">
        <is>
          <t>Ministério da Economia</t>
        </is>
      </c>
      <c r="I129" s="8" t="inlineStr">
        <is>
          <t>Mantido</t>
        </is>
      </c>
      <c r="J129" s="8" t="inlineStr">
        <is>
          <t>Interlocutor de órgão do escopo; título sem tema de política externa; composição aparentemente restrita.</t>
        </is>
      </c>
      <c r="K129" s="8" t="inlineStr"/>
      <c r="L129" s="8" t="n">
        <v>55</v>
      </c>
      <c r="M129" s="8" t="inlineStr">
        <is>
          <t>https://www.gov.br/mre/pt-br/agendas/agendas-de-autoridades-anteriores/agenda-antiga-fernando-simas-magalhaes/2022-12-05</t>
        </is>
      </c>
    </row>
    <row r="130">
      <c r="A130" s="8" t="n">
        <v>129</v>
      </c>
      <c r="B130" s="9" t="n">
        <v>44915</v>
      </c>
      <c r="C130" s="8" t="inlineStr">
        <is>
          <t>10:30</t>
        </is>
      </c>
      <c r="D130" s="8" t="inlineStr">
        <is>
          <t>Ministro de Estado</t>
        </is>
      </c>
      <c r="E130" s="8" t="inlineStr">
        <is>
          <t>Carlos Alberto Franco França</t>
        </is>
      </c>
      <c r="F130" s="8" t="inlineStr">
        <is>
          <t>Casa Civil</t>
        </is>
      </c>
      <c r="G130" s="8" t="inlineStr">
        <is>
          <t>Ministro de Estado Chefe da Casa Civil da Presidência da República, Ciro Nogueira</t>
        </is>
      </c>
      <c r="H130" s="8" t="inlineStr">
        <is>
          <t>Palácio do Planalto</t>
        </is>
      </c>
      <c r="I130" s="8" t="inlineStr">
        <is>
          <t>Mantido</t>
        </is>
      </c>
      <c r="J130" s="8" t="inlineStr">
        <is>
          <t>Interlocutor de órgão do escopo; título sem tema de política externa; composição aparentemente restrita.</t>
        </is>
      </c>
      <c r="K130" s="8" t="inlineStr"/>
      <c r="L130" s="8" t="n">
        <v>56</v>
      </c>
      <c r="M130" s="8" t="inlineStr">
        <is>
          <t>https://www.gov.br/mre/pt-br/agendas/agendas-de-autoridades-anteriores/agenda-antiga-carlos-alberto-franco-franca/2022-12-20</t>
        </is>
      </c>
    </row>
    <row r="131">
      <c r="A131" s="8" t="n">
        <v>130</v>
      </c>
      <c r="B131" s="9" t="n">
        <v>44916</v>
      </c>
      <c r="C131" s="8" t="inlineStr">
        <is>
          <t>15:30</t>
        </is>
      </c>
      <c r="D131" s="8" t="inlineStr">
        <is>
          <t>Ministro de Estado</t>
        </is>
      </c>
      <c r="E131" s="8" t="inlineStr">
        <is>
          <t>Carlos Alberto Franco França</t>
        </is>
      </c>
      <c r="F131" s="8" t="inlineStr">
        <is>
          <t>Ministério da Economia — Receita Federal</t>
        </is>
      </c>
      <c r="G131" s="8" t="inlineStr">
        <is>
          <t>Secretário Especial da Receita Federal do Brasil Adjunto, Sandro De Vargas Serpa</t>
        </is>
      </c>
      <c r="H131" s="8" t="inlineStr">
        <is>
          <t>Gabinete</t>
        </is>
      </c>
      <c r="I131" s="8" t="inlineStr">
        <is>
          <t>Mantido</t>
        </is>
      </c>
      <c r="J131" s="8" t="inlineStr">
        <is>
          <t>Interlocutor de órgão do escopo; título sem tema de política externa; composição aparentemente restrita.</t>
        </is>
      </c>
      <c r="K131" s="8" t="inlineStr">
        <is>
          <t>A Receita Federal integra o Ministério da Economia (sucessor da Fazenda); relevância orçamentária indireta.</t>
        </is>
      </c>
      <c r="L131" s="8" t="n">
        <v>57</v>
      </c>
      <c r="M131" s="8" t="inlineStr">
        <is>
          <t>https://www.gov.br/mre/pt-br/agendas/agendas-de-autoridades-anteriores/agenda-antiga-carlos-alberto-franco-franca/2022-12-21</t>
        </is>
      </c>
    </row>
    <row r="132">
      <c r="A132" s="8" t="n">
        <v>131</v>
      </c>
      <c r="B132" s="9" t="n">
        <v>44929</v>
      </c>
      <c r="C132" s="8" t="inlineStr">
        <is>
          <t>15:00</t>
        </is>
      </c>
      <c r="D132" s="8" t="inlineStr">
        <is>
          <t>Ministro de Estado</t>
        </is>
      </c>
      <c r="E132" s="8" t="inlineStr">
        <is>
          <t>Mauro Vieira</t>
        </is>
      </c>
      <c r="F132" s="8" t="inlineStr">
        <is>
          <t>Casa Civil (Luiz Eduardo Ramos)</t>
        </is>
      </c>
      <c r="G132" s="8" t="inlineStr">
        <is>
          <t>Acompanha o PR em audiência ao PR de Timor-Leste, Ramos Horta</t>
        </is>
      </c>
      <c r="H132" s="8" t="inlineStr">
        <is>
          <t>Brasília</t>
        </is>
      </c>
      <c r="I132" s="8" t="inlineStr">
        <is>
          <t>Excluído — falso positivo lexical</t>
        </is>
      </c>
      <c r="J132" s="8" t="inlineStr">
        <is>
          <t>Homônimo ou termo fora de contexto (Ramos; 'Planejamento Diplomático'; 'Fazenda da Esperança'; G20 'Economia e Saúde Global').</t>
        </is>
      </c>
      <c r="K132" s="8" t="inlineStr"/>
      <c r="L132" s="8" t="inlineStr"/>
      <c r="M132" s="8" t="inlineStr">
        <is>
          <t>https://www.gov.br/mre/pt-br/agendas/agenda-do-ministro-das-relacoes-exteriores/2023-01-03</t>
        </is>
      </c>
    </row>
    <row r="133">
      <c r="A133" s="8" t="n">
        <v>132</v>
      </c>
      <c r="B133" s="9" t="n">
        <v>44931</v>
      </c>
      <c r="C133" s="8" t="inlineStr">
        <is>
          <t>10:10</t>
        </is>
      </c>
      <c r="D133" s="8" t="inlineStr">
        <is>
          <t>Ministro de Estado</t>
        </is>
      </c>
      <c r="E133" s="8" t="inlineStr">
        <is>
          <t>Mauro Vieira</t>
        </is>
      </c>
      <c r="F133" s="8" t="inlineStr">
        <is>
          <t>Ministério do Planejamento e Orçamento</t>
        </is>
      </c>
      <c r="G133" s="8" t="inlineStr">
        <is>
          <t>Cerimônia de Posse da Ministra de Estado do Planejamento e Orçamento</t>
        </is>
      </c>
      <c r="H133" s="8" t="inlineStr">
        <is>
          <t>Palácio do Planalto</t>
        </is>
      </c>
      <c r="I133" s="8" t="inlineStr">
        <is>
          <t>Excluído — porte (cerimônia pública)</t>
        </is>
      </c>
      <c r="J133" s="8" t="inlineStr">
        <is>
          <t>Cerimônia ou posse: ato público amplo, análogo ao critério de porte do relatório.</t>
        </is>
      </c>
      <c r="K133" s="8" t="inlineStr"/>
      <c r="L133" s="8" t="inlineStr"/>
      <c r="M133" s="8" t="inlineStr">
        <is>
          <t>https://www.gov.br/mre/pt-br/agendas/agenda-do-ministro-das-relacoes-exteriores/2023-01-05</t>
        </is>
      </c>
    </row>
    <row r="134">
      <c r="A134" s="8" t="n">
        <v>133</v>
      </c>
      <c r="B134" s="9" t="n">
        <v>44952</v>
      </c>
      <c r="C134" s="8" t="inlineStr">
        <is>
          <t>13:00</t>
        </is>
      </c>
      <c r="D134" s="8" t="inlineStr">
        <is>
          <t>Ministro de Estado</t>
        </is>
      </c>
      <c r="E134" s="8" t="inlineStr">
        <is>
          <t>Mauro Vieira</t>
        </is>
      </c>
      <c r="F134" s="8" t="inlineStr">
        <is>
          <t>Casa Civil</t>
        </is>
      </c>
      <c r="G134" s="8" t="inlineStr">
        <is>
          <t>Ministro da Casa Civil, Rui Costa</t>
        </is>
      </c>
      <c r="H134" s="8" t="inlineStr">
        <is>
          <t>Palácio do Planalto</t>
        </is>
      </c>
      <c r="I134" s="8" t="inlineStr">
        <is>
          <t>Mantido</t>
        </is>
      </c>
      <c r="J134" s="8" t="inlineStr">
        <is>
          <t>Interlocutor de órgão do escopo; título sem tema de política externa; composição aparentemente restrita.</t>
        </is>
      </c>
      <c r="K134" s="8" t="inlineStr">
        <is>
          <t>Período anterior a 08/05/2023, não coberto pela agenda do ME no e-Agendas.</t>
        </is>
      </c>
      <c r="L134" s="8" t="n">
        <v>58</v>
      </c>
      <c r="M134" s="8" t="inlineStr">
        <is>
          <t>https://www.gov.br/mre/pt-br/agendas/agenda-do-ministro-das-relacoes-exteriores/2023-01-26</t>
        </is>
      </c>
    </row>
    <row r="135">
      <c r="A135" s="8" t="n">
        <v>134</v>
      </c>
      <c r="B135" s="9" t="n">
        <v>45016</v>
      </c>
      <c r="C135" s="8" t="inlineStr">
        <is>
          <t>10:00</t>
        </is>
      </c>
      <c r="D135" s="8" t="inlineStr">
        <is>
          <t>Ministro de Estado</t>
        </is>
      </c>
      <c r="E135" s="8" t="inlineStr">
        <is>
          <t>Mauro Vieira</t>
        </is>
      </c>
      <c r="F135" s="8" t="inlineStr">
        <is>
          <t>Casa Civil</t>
        </is>
      </c>
      <c r="G135" s="8" t="inlineStr">
        <is>
          <t>Ministro da Casa Civil, Rui Costa</t>
        </is>
      </c>
      <c r="H135" s="8" t="inlineStr">
        <is>
          <t>Palácio do Planalto</t>
        </is>
      </c>
      <c r="I135" s="8" t="inlineStr">
        <is>
          <t>Mantido</t>
        </is>
      </c>
      <c r="J135" s="8" t="inlineStr">
        <is>
          <t>Interlocutor de órgão do escopo; título sem tema de política externa; composição aparentemente restrita.</t>
        </is>
      </c>
      <c r="K135" s="8" t="inlineStr">
        <is>
          <t>Período anterior a 08/05/2023, não coberto pela agenda do ME no e-Agendas.</t>
        </is>
      </c>
      <c r="L135" s="8" t="n">
        <v>59</v>
      </c>
      <c r="M135" s="8" t="inlineStr">
        <is>
          <t>https://www.gov.br/mre/pt-br/agendas/agenda-do-ministro-das-relacoes-exteriores/2023-03-31</t>
        </is>
      </c>
    </row>
    <row r="136">
      <c r="A136" s="8" t="n">
        <v>135</v>
      </c>
      <c r="B136" s="9" t="n">
        <v>45020</v>
      </c>
      <c r="C136" s="8" t="inlineStr">
        <is>
          <t>12:30</t>
        </is>
      </c>
      <c r="D136" s="8" t="inlineStr">
        <is>
          <t>Ministro de Estado</t>
        </is>
      </c>
      <c r="E136" s="8" t="inlineStr">
        <is>
          <t>Mauro Vieira</t>
        </is>
      </c>
      <c r="F136" s="8" t="inlineStr">
        <is>
          <t>Ministério da Fazenda</t>
        </is>
      </c>
      <c r="G136" s="8" t="inlineStr">
        <is>
          <t>Almoço de trabalho oferecido ao Ministro da Fazenda, Fernando Haddad</t>
        </is>
      </c>
      <c r="H136" s="8" t="inlineStr">
        <is>
          <t>Palácio Itamaraty, Sala Bahia</t>
        </is>
      </c>
      <c r="I136" s="8" t="inlineStr">
        <is>
          <t>Mantido</t>
        </is>
      </c>
      <c r="J136" s="8" t="inlineStr">
        <is>
          <t>Interlocutor de órgão do escopo; título sem tema de política externa; composição aparentemente restrita.</t>
        </is>
      </c>
      <c r="K136" s="8" t="inlineStr">
        <is>
          <t>Almoço; porte não verificável (a agenda gov.br não lista participantes). Período anterior a 08/05/2023, não coberto pela agenda do ME no e-Agendas.</t>
        </is>
      </c>
      <c r="L136" s="8" t="n">
        <v>60</v>
      </c>
      <c r="M136" s="8" t="inlineStr">
        <is>
          <t>https://www.gov.br/mre/pt-br/agendas/agenda-do-ministro-das-relacoes-exteriores/2023-04-04</t>
        </is>
      </c>
    </row>
    <row r="137">
      <c r="A137" s="8" t="n">
        <v>136</v>
      </c>
      <c r="B137" s="9" t="n">
        <v>45020</v>
      </c>
      <c r="C137" s="8" t="inlineStr">
        <is>
          <t>15:00</t>
        </is>
      </c>
      <c r="D137" s="8" t="inlineStr">
        <is>
          <t>Ministro de Estado</t>
        </is>
      </c>
      <c r="E137" s="8" t="inlineStr">
        <is>
          <t>Mauro Vieira</t>
        </is>
      </c>
      <c r="F137" s="8" t="inlineStr">
        <is>
          <t>(outro)</t>
        </is>
      </c>
      <c r="G137" s="8" t="inlineStr">
        <is>
          <t>Ministra da Gestão e da Inovação em Serviços Públicos do Brasil, Esther Dweck</t>
        </is>
      </c>
      <c r="H137" s="8" t="inlineStr">
        <is>
          <t>Gabinete</t>
        </is>
      </c>
      <c r="I137" s="8" t="inlineStr">
        <is>
          <t>Excluído — órgão fora do escopo</t>
        </is>
      </c>
      <c r="J137" s="8" t="inlineStr">
        <is>
          <t>Órgão não coberto pelo relatório (SEGOV, SGPR, AGU, CGU, BNDES, MGI, Gabinete da PR).</t>
        </is>
      </c>
      <c r="K137" s="8" t="inlineStr"/>
      <c r="L137" s="8" t="inlineStr"/>
      <c r="M137" s="8" t="inlineStr">
        <is>
          <t>https://www.gov.br/mre/pt-br/agendas/agenda-do-ministro-das-relacoes-exteriores/2023-04-04</t>
        </is>
      </c>
    </row>
  </sheetData>
  <autoFilter ref="A1:M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17" customWidth="1" min="4" max="4"/>
    <col width="26" customWidth="1" min="5" max="5"/>
    <col width="30" customWidth="1" min="6" max="6"/>
    <col width="70" customWidth="1" min="7" max="7"/>
    <col width="32" customWidth="1" min="8" max="8"/>
    <col width="34" customWidth="1" min="9" max="9"/>
    <col width="48" customWidth="1" min="10" max="10"/>
    <col width="48" customWidth="1" min="11" max="11"/>
    <col width="8" customWidth="1" min="12" max="12"/>
    <col width="60" customWidth="1" min="13" max="13"/>
  </cols>
  <sheetData>
    <row r="1" ht="30" customHeight="1">
      <c r="A1" s="7" t="inlineStr">
        <is>
          <t>Nº</t>
        </is>
      </c>
      <c r="B1" s="7" t="inlineStr">
        <is>
          <t>Data</t>
        </is>
      </c>
      <c r="C1" s="7" t="inlineStr">
        <is>
          <t>Hora</t>
        </is>
      </c>
      <c r="D1" s="7" t="inlineStr">
        <is>
          <t>Agenda</t>
        </is>
      </c>
      <c r="E1" s="7" t="inlineStr">
        <is>
          <t>Autoridade</t>
        </is>
      </c>
      <c r="F1" s="7" t="inlineStr">
        <is>
          <t>Órgão identificado</t>
        </is>
      </c>
      <c r="G1" s="7" t="inlineStr">
        <is>
          <t>Compromisso (título em gov.br)</t>
        </is>
      </c>
      <c r="H1" s="7" t="inlineStr">
        <is>
          <t>Local</t>
        </is>
      </c>
      <c r="I1" s="7" t="inlineStr">
        <is>
          <t>Classificação</t>
        </is>
      </c>
      <c r="J1" s="7" t="inlineStr">
        <is>
          <t>Motivo</t>
        </is>
      </c>
      <c r="K1" s="7" t="inlineStr">
        <is>
          <t>Observações</t>
        </is>
      </c>
      <c r="L1" s="7" t="inlineStr">
        <is>
          <t>Evento</t>
        </is>
      </c>
      <c r="M1" s="7" t="inlineStr">
        <is>
          <t>URL (gov.br)</t>
        </is>
      </c>
    </row>
    <row r="2">
      <c r="A2" s="8" t="n">
        <v>2</v>
      </c>
      <c r="B2" s="9" t="n">
        <v>44159</v>
      </c>
      <c r="C2" s="8" t="inlineStr">
        <is>
          <t>16:00</t>
        </is>
      </c>
      <c r="D2" s="8" t="inlineStr">
        <is>
          <t>Secretário-Geral</t>
        </is>
      </c>
      <c r="E2" s="8" t="inlineStr">
        <is>
          <t>Otávio Brandelli</t>
        </is>
      </c>
      <c r="F2" s="8" t="inlineStr">
        <is>
          <t>Casa Civil</t>
        </is>
      </c>
      <c r="G2" s="8" t="inlineStr">
        <is>
          <t>Reunião com o secretário-executivo da Casa Civil da Presidência da República, general Sérgio Pereira</t>
        </is>
      </c>
      <c r="H2" s="8" t="inlineStr">
        <is>
          <t>Palácio do Planalto</t>
        </is>
      </c>
      <c r="I2" s="8" t="inlineStr">
        <is>
          <t>Mantido</t>
        </is>
      </c>
      <c r="J2" s="8" t="inlineStr">
        <is>
          <t>Interlocutor de órgão do escopo; título sem tema de política externa; composição aparentemente restrita.</t>
        </is>
      </c>
      <c r="K2" s="8" t="inlineStr"/>
      <c r="L2" s="8" t="n">
        <v>1</v>
      </c>
      <c r="M2" s="8" t="inlineStr">
        <is>
          <t>https://www.gov.br/mre/pt-br/agendas/agendas-de-autoridades-anteriores/agenda-antiga-otavio-brandelli/2020-11-24</t>
        </is>
      </c>
    </row>
    <row r="3">
      <c r="A3" s="8" t="n">
        <v>5</v>
      </c>
      <c r="B3" s="9" t="n">
        <v>44173</v>
      </c>
      <c r="C3" s="8" t="inlineStr">
        <is>
          <t>17:00</t>
        </is>
      </c>
      <c r="D3" s="8" t="inlineStr">
        <is>
          <t>Ministro de Estado</t>
        </is>
      </c>
      <c r="E3" s="8" t="inlineStr">
        <is>
          <t>Ernesto Fraga Araújo</t>
        </is>
      </c>
      <c r="F3" s="8" t="inlineStr">
        <is>
          <t>Casa Civil</t>
        </is>
      </c>
      <c r="G3" s="8" t="inlineStr">
        <is>
          <t>Reunião com o Ministro-Chefe da Casa Civil, General Braga Netto</t>
        </is>
      </c>
      <c r="H3" s="8" t="inlineStr">
        <is>
          <t>Palácio do Planalto</t>
        </is>
      </c>
      <c r="I3" s="8" t="inlineStr">
        <is>
          <t>Mantido</t>
        </is>
      </c>
      <c r="J3" s="8" t="inlineStr">
        <is>
          <t>Interlocutor de órgão do escopo; título sem tema de política externa; composição aparentemente restrita.</t>
        </is>
      </c>
      <c r="K3" s="8" t="inlineStr"/>
      <c r="L3" s="8" t="n">
        <v>2</v>
      </c>
      <c r="M3" s="8" t="inlineStr">
        <is>
          <t>https://www.gov.br/mre/pt-br/agendas/agendas-de-autoridades-anteriores/agenda-antiga-ernesto-fraga-araujo/2020-12-08</t>
        </is>
      </c>
    </row>
    <row r="4">
      <c r="A4" s="8" t="n">
        <v>8</v>
      </c>
      <c r="B4" s="9" t="n">
        <v>44216</v>
      </c>
      <c r="C4" s="8" t="inlineStr">
        <is>
          <t>14:30</t>
        </is>
      </c>
      <c r="D4" s="8" t="inlineStr">
        <is>
          <t>Ministro de Estado</t>
        </is>
      </c>
      <c r="E4" s="8" t="inlineStr">
        <is>
          <t>Ernesto Fraga Araújo</t>
        </is>
      </c>
      <c r="F4" s="8" t="inlineStr">
        <is>
          <t>Casa Civil</t>
        </is>
      </c>
      <c r="G4" s="8" t="inlineStr">
        <is>
          <t>Reunião com o Ministro-Chefe da Casa Civil, General Braga Netto Local: Palácio do Planalto</t>
        </is>
      </c>
      <c r="H4" s="8" t="inlineStr">
        <is>
          <t>Gabinete</t>
        </is>
      </c>
      <c r="I4" s="8" t="inlineStr">
        <is>
          <t>Mantido</t>
        </is>
      </c>
      <c r="J4" s="8" t="inlineStr">
        <is>
          <t>Interlocutor de órgão do escopo; título sem tema de política externa; composição aparentemente restrita.</t>
        </is>
      </c>
      <c r="K4" s="8" t="inlineStr"/>
      <c r="L4" s="8" t="n">
        <v>3</v>
      </c>
      <c r="M4" s="8" t="inlineStr">
        <is>
          <t>https://www.gov.br/mre/pt-br/agendas/agendas-de-autoridades-anteriores/agenda-antiga-ernesto-fraga-araujo/2021-01-20</t>
        </is>
      </c>
    </row>
    <row r="5">
      <c r="A5" s="8" t="n">
        <v>9</v>
      </c>
      <c r="B5" s="9" t="n">
        <v>44216</v>
      </c>
      <c r="C5" s="8" t="inlineStr">
        <is>
          <t>15:00</t>
        </is>
      </c>
      <c r="D5" s="8" t="inlineStr">
        <is>
          <t>Secretário-Geral</t>
        </is>
      </c>
      <c r="E5" s="8" t="inlineStr">
        <is>
          <t>Otávio Brandelli</t>
        </is>
      </c>
      <c r="F5" s="8" t="inlineStr">
        <is>
          <t>Casa Civil</t>
        </is>
      </c>
      <c r="G5" s="8" t="inlineStr">
        <is>
          <t>Secretário-Executivo da Casa Civil da Presidência da República, general Sérgio Pereira</t>
        </is>
      </c>
      <c r="H5" s="8" t="inlineStr">
        <is>
          <t>Palácio do Planalto</t>
        </is>
      </c>
      <c r="I5" s="8" t="inlineStr">
        <is>
          <t>Mantido</t>
        </is>
      </c>
      <c r="J5" s="8" t="inlineStr">
        <is>
          <t>Interlocutor de órgão do escopo; título sem tema de política externa; composição aparentemente restrita.</t>
        </is>
      </c>
      <c r="K5" s="8" t="inlineStr"/>
      <c r="L5" s="8" t="n">
        <v>4</v>
      </c>
      <c r="M5" s="8" t="inlineStr">
        <is>
          <t>https://www.gov.br/mre/pt-br/agendas/agendas-de-autoridades-anteriores/agenda-antiga-otavio-brandelli/2021-01-20</t>
        </is>
      </c>
    </row>
    <row r="6">
      <c r="A6" s="8" t="n">
        <v>10</v>
      </c>
      <c r="B6" s="9" t="n">
        <v>44237</v>
      </c>
      <c r="C6" s="8" t="inlineStr">
        <is>
          <t>17:00</t>
        </is>
      </c>
      <c r="D6" s="8" t="inlineStr">
        <is>
          <t>Ministro de Estado</t>
        </is>
      </c>
      <c r="E6" s="8" t="inlineStr">
        <is>
          <t>Ernesto Fraga Araújo</t>
        </is>
      </c>
      <c r="F6" s="8" t="inlineStr">
        <is>
          <t>Ministério da Economia</t>
        </is>
      </c>
      <c r="G6" s="8" t="inlineStr">
        <is>
          <t>Ministro da Economia, Paulo Guedes</t>
        </is>
      </c>
      <c r="H6" s="8" t="inlineStr">
        <is>
          <t>Sala Rui Barbosa</t>
        </is>
      </c>
      <c r="I6" s="8" t="inlineStr">
        <is>
          <t>Mantido</t>
        </is>
      </c>
      <c r="J6" s="8" t="inlineStr">
        <is>
          <t>Interlocutor de órgão do escopo; título sem tema de política externa; composição aparentemente restrita.</t>
        </is>
      </c>
      <c r="K6" s="8" t="inlineStr"/>
      <c r="L6" s="8" t="n">
        <v>5</v>
      </c>
      <c r="M6" s="8" t="inlineStr">
        <is>
          <t>https://www.gov.br/mre/pt-br/agendas/agendas-de-autoridades-anteriores/agenda-antiga-ernesto-fraga-araujo/2021-02-10</t>
        </is>
      </c>
    </row>
    <row r="7">
      <c r="A7" s="8" t="n">
        <v>12</v>
      </c>
      <c r="B7" s="9" t="n">
        <v>44258</v>
      </c>
      <c r="C7" s="8" t="inlineStr">
        <is>
          <t>16:30</t>
        </is>
      </c>
      <c r="D7" s="8" t="inlineStr">
        <is>
          <t>Secretário-Geral</t>
        </is>
      </c>
      <c r="E7" s="8" t="inlineStr">
        <is>
          <t>Otávio Brandelli</t>
        </is>
      </c>
      <c r="F7" s="8" t="inlineStr">
        <is>
          <t>Casa Civil</t>
        </is>
      </c>
      <c r="G7" s="8" t="inlineStr">
        <is>
          <t>Reunião com o secretário-executivo da Casa Civil da Presidência da República, general Sérgio Pereira</t>
        </is>
      </c>
      <c r="H7" s="8" t="inlineStr">
        <is>
          <t>Palácio do Planalto</t>
        </is>
      </c>
      <c r="I7" s="8" t="inlineStr">
        <is>
          <t>Mantido</t>
        </is>
      </c>
      <c r="J7" s="8" t="inlineStr">
        <is>
          <t>Interlocutor de órgão do escopo; título sem tema de política externa; composição aparentemente restrita.</t>
        </is>
      </c>
      <c r="K7" s="8" t="inlineStr"/>
      <c r="L7" s="8" t="n">
        <v>6</v>
      </c>
      <c r="M7" s="8" t="inlineStr">
        <is>
          <t>https://www.gov.br/mre/pt-br/agendas/agendas-de-autoridades-anteriores/agenda-antiga-otavio-brandelli/2021-03-03</t>
        </is>
      </c>
    </row>
    <row r="8">
      <c r="A8" s="8" t="n">
        <v>13</v>
      </c>
      <c r="B8" s="9" t="n">
        <v>44259</v>
      </c>
      <c r="C8" s="8" t="inlineStr">
        <is>
          <t>16:30</t>
        </is>
      </c>
      <c r="D8" s="8" t="inlineStr">
        <is>
          <t>Ministro de Estado</t>
        </is>
      </c>
      <c r="E8" s="8" t="inlineStr">
        <is>
          <t>Ernesto Fraga Araújo</t>
        </is>
      </c>
      <c r="F8" s="8" t="inlineStr">
        <is>
          <t>Ministério da Economia</t>
        </is>
      </c>
      <c r="G8" s="8" t="inlineStr">
        <is>
          <t>Ministro da Economia, Paulo Guedes</t>
        </is>
      </c>
      <c r="H8" s="8" t="inlineStr">
        <is>
          <t>Ministério da Economia</t>
        </is>
      </c>
      <c r="I8" s="8" t="inlineStr">
        <is>
          <t>Mantido</t>
        </is>
      </c>
      <c r="J8" s="8" t="inlineStr">
        <is>
          <t>Interlocutor de órgão do escopo; título sem tema de política externa; composição aparentemente restrita.</t>
        </is>
      </c>
      <c r="K8" s="8" t="inlineStr"/>
      <c r="L8" s="8" t="n">
        <v>7</v>
      </c>
      <c r="M8" s="8" t="inlineStr">
        <is>
          <t>https://www.gov.br/mre/pt-br/agendas/agendas-de-autoridades-anteriores/agenda-antiga-ernesto-fraga-araujo/2021-03-04</t>
        </is>
      </c>
    </row>
    <row r="9">
      <c r="A9" s="8" t="n">
        <v>14</v>
      </c>
      <c r="B9" s="9" t="n">
        <v>44266</v>
      </c>
      <c r="C9" s="8" t="inlineStr">
        <is>
          <t>15:00</t>
        </is>
      </c>
      <c r="D9" s="8" t="inlineStr">
        <is>
          <t>Ministro de Estado</t>
        </is>
      </c>
      <c r="E9" s="8" t="inlineStr">
        <is>
          <t>Ernesto Fraga Araújo</t>
        </is>
      </c>
      <c r="F9" s="8" t="inlineStr">
        <is>
          <t>Casa Civil</t>
        </is>
      </c>
      <c r="G9" s="8" t="inlineStr">
        <is>
          <t>Reunião de coordenação na Casa Civil</t>
        </is>
      </c>
      <c r="H9" s="8" t="inlineStr">
        <is>
          <t>Palácio do Planalto</t>
        </is>
      </c>
      <c r="I9" s="8" t="inlineStr">
        <is>
          <t>Mantido</t>
        </is>
      </c>
      <c r="J9" s="8" t="inlineStr">
        <is>
          <t>Interlocutor de órgão do escopo; título sem tema de política externa; composição aparentemente restrita.</t>
        </is>
      </c>
      <c r="K9" s="8" t="inlineStr">
        <is>
          <t>Reunião de coordenação sem pauta declarada.</t>
        </is>
      </c>
      <c r="L9" s="8" t="n">
        <v>8</v>
      </c>
      <c r="M9" s="8" t="inlineStr">
        <is>
          <t>https://www.gov.br/mre/pt-br/agendas/agendas-de-autoridades-anteriores/agenda-antiga-ernesto-fraga-araujo/2021-03-11</t>
        </is>
      </c>
    </row>
    <row r="10">
      <c r="A10" s="8" t="n">
        <v>17</v>
      </c>
      <c r="B10" s="9" t="n">
        <v>44299</v>
      </c>
      <c r="C10" s="8" t="inlineStr">
        <is>
          <t>14:00</t>
        </is>
      </c>
      <c r="D10" s="8" t="inlineStr">
        <is>
          <t>Secretário-Geral</t>
        </is>
      </c>
      <c r="E10" s="8" t="inlineStr">
        <is>
          <t>Otávio Brandelli</t>
        </is>
      </c>
      <c r="F10" s="8" t="inlineStr">
        <is>
          <t>Casa Civil</t>
        </is>
      </c>
      <c r="G10" s="8" t="inlineStr">
        <is>
          <t>Reunião com o secretário-executivo adjunto da Casa Civil da Presidência da República, Thiago Meirelles</t>
        </is>
      </c>
      <c r="H10" s="8" t="inlineStr">
        <is>
          <t>Palácio do Planalto</t>
        </is>
      </c>
      <c r="I10" s="8" t="inlineStr">
        <is>
          <t>Mantido</t>
        </is>
      </c>
      <c r="J10" s="8" t="inlineStr">
        <is>
          <t>Interlocutor de órgão do escopo; título sem tema de política externa; composição aparentemente restrita.</t>
        </is>
      </c>
      <c r="K10" s="8" t="inlineStr"/>
      <c r="L10" s="8" t="n">
        <v>9</v>
      </c>
      <c r="M10" s="8" t="inlineStr">
        <is>
          <t>https://www.gov.br/mre/pt-br/agendas/agendas-de-autoridades-anteriores/agenda-antiga-otavio-brandelli/2021-04-13</t>
        </is>
      </c>
    </row>
    <row r="11">
      <c r="A11" s="8" t="n">
        <v>18</v>
      </c>
      <c r="B11" s="9" t="n">
        <v>44306</v>
      </c>
      <c r="C11" s="8" t="inlineStr">
        <is>
          <t>17:30</t>
        </is>
      </c>
      <c r="D11" s="8" t="inlineStr">
        <is>
          <t>Ministro de Estado</t>
        </is>
      </c>
      <c r="E11" s="8" t="inlineStr">
        <is>
          <t>Carlos Alberto Franco França</t>
        </is>
      </c>
      <c r="F11" s="8" t="inlineStr">
        <is>
          <t>Ministério da Economia</t>
        </is>
      </c>
      <c r="G11" s="8" t="inlineStr">
        <is>
          <t>Ministro de Estado da Economia, Paulo Guedes</t>
        </is>
      </c>
      <c r="H11" s="8" t="inlineStr">
        <is>
          <t>Ministério da Economia</t>
        </is>
      </c>
      <c r="I11" s="8" t="inlineStr">
        <is>
          <t>Mantido</t>
        </is>
      </c>
      <c r="J11" s="8" t="inlineStr">
        <is>
          <t>Interlocutor de órgão do escopo; título sem tema de política externa; composição aparentemente restrita.</t>
        </is>
      </c>
      <c r="K11" s="8" t="inlineStr"/>
      <c r="L11" s="8" t="n">
        <v>10</v>
      </c>
      <c r="M11" s="8" t="inlineStr">
        <is>
          <t>https://www.gov.br/mre/pt-br/agendas/agendas-de-autoridades-anteriores/agenda-antiga-carlos-alberto-franco-franca/2021-04-20</t>
        </is>
      </c>
    </row>
    <row r="12">
      <c r="A12" s="8" t="n">
        <v>21</v>
      </c>
      <c r="B12" s="9" t="n">
        <v>44322</v>
      </c>
      <c r="C12" s="8" t="inlineStr">
        <is>
          <t>12:30</t>
        </is>
      </c>
      <c r="D12" s="8" t="inlineStr">
        <is>
          <t>Secretário-Geral</t>
        </is>
      </c>
      <c r="E12" s="8" t="inlineStr">
        <is>
          <t>Otávio Brandelli</t>
        </is>
      </c>
      <c r="F12" s="8" t="inlineStr">
        <is>
          <t>Casa Civil</t>
        </is>
      </c>
      <c r="G12" s="8" t="inlineStr">
        <is>
          <t>Secretário-Executivo da Casa Civil, senhor Jonathas Castro, e Diretor na Presidência do Senado Federal , senhor Alexandre Silveira</t>
        </is>
      </c>
      <c r="H12" s="8" t="inlineStr"/>
      <c r="I12" s="8" t="inlineStr">
        <is>
          <t>Mantido</t>
        </is>
      </c>
      <c r="J12" s="8" t="inlineStr">
        <is>
          <t>Interlocutor de órgão do escopo; título sem tema de política externa; composição aparentemente restrita.</t>
        </is>
      </c>
      <c r="K12" s="8" t="inlineStr">
        <is>
          <t>Também presente diretor da Presidência do Senado Federal.</t>
        </is>
      </c>
      <c r="L12" s="8" t="n">
        <v>11</v>
      </c>
      <c r="M12" s="8" t="inlineStr">
        <is>
          <t>https://www.gov.br/mre/pt-br/agendas/agendas-de-autoridades-anteriores/agenda-antiga-otavio-brandelli/2021-05-06</t>
        </is>
      </c>
    </row>
    <row r="13">
      <c r="A13" s="8" t="n">
        <v>22</v>
      </c>
      <c r="B13" s="9" t="n">
        <v>44327</v>
      </c>
      <c r="C13" s="8" t="inlineStr">
        <is>
          <t>17:00</t>
        </is>
      </c>
      <c r="D13" s="8" t="inlineStr">
        <is>
          <t>Secretário-Geral</t>
        </is>
      </c>
      <c r="E13" s="8" t="inlineStr">
        <is>
          <t>Otávio Brandelli</t>
        </is>
      </c>
      <c r="F13" s="8" t="inlineStr">
        <is>
          <t>Ministério da Economia</t>
        </is>
      </c>
      <c r="G13" s="8" t="inlineStr">
        <is>
          <t>Secretário-Executivo do Ministério da Economia, Marcelo Pacheco dos Guaranys</t>
        </is>
      </c>
      <c r="H13" s="8" t="inlineStr">
        <is>
          <t>Ministério da Economia</t>
        </is>
      </c>
      <c r="I13" s="8" t="inlineStr">
        <is>
          <t>Mantido</t>
        </is>
      </c>
      <c r="J13" s="8" t="inlineStr">
        <is>
          <t>Interlocutor de órgão do escopo; título sem tema de política externa; composição aparentemente restrita.</t>
        </is>
      </c>
      <c r="K13" s="8" t="inlineStr"/>
      <c r="L13" s="8" t="n">
        <v>12</v>
      </c>
      <c r="M13" s="8" t="inlineStr">
        <is>
          <t>https://www.gov.br/mre/pt-br/agendas/agendas-de-autoridades-anteriores/agenda-antiga-otavio-brandelli/2021-05-11</t>
        </is>
      </c>
    </row>
    <row r="14">
      <c r="A14" s="8" t="n">
        <v>23</v>
      </c>
      <c r="B14" s="9" t="n">
        <v>44334</v>
      </c>
      <c r="C14" s="8" t="inlineStr">
        <is>
          <t>15:00</t>
        </is>
      </c>
      <c r="D14" s="8" t="inlineStr">
        <is>
          <t>Ministro de Estado</t>
        </is>
      </c>
      <c r="E14" s="8" t="inlineStr">
        <is>
          <t>Carlos Alberto Franco França</t>
        </is>
      </c>
      <c r="F14" s="8" t="inlineStr">
        <is>
          <t>Casa Civil</t>
        </is>
      </c>
      <c r="G14" s="8" t="inlineStr">
        <is>
          <t>Senhor Luiz Eduardo Ramos, Ministro-Chefe da Casa Civil da Presidência da República</t>
        </is>
      </c>
      <c r="H14" s="8" t="inlineStr">
        <is>
          <t>Palácio do Planalto</t>
        </is>
      </c>
      <c r="I14" s="8" t="inlineStr">
        <is>
          <t>Mantido</t>
        </is>
      </c>
      <c r="J14" s="8" t="inlineStr">
        <is>
          <t>Interlocutor de órgão do escopo; título sem tema de política externa; composição aparentemente restrita.</t>
        </is>
      </c>
      <c r="K14" s="8" t="inlineStr">
        <is>
          <t>Ramos chefiou a Casa Civil de 29/03/2021 a 03/08/2021.</t>
        </is>
      </c>
      <c r="L14" s="8" t="n">
        <v>13</v>
      </c>
      <c r="M14" s="8" t="inlineStr">
        <is>
          <t>https://www.gov.br/mre/pt-br/agendas/agendas-de-autoridades-anteriores/agenda-antiga-carlos-alberto-franco-franca/2021-05-18</t>
        </is>
      </c>
    </row>
    <row r="15">
      <c r="A15" s="8" t="n">
        <v>28</v>
      </c>
      <c r="B15" s="9" t="n">
        <v>44343</v>
      </c>
      <c r="C15" s="8" t="inlineStr">
        <is>
          <t>10:00</t>
        </is>
      </c>
      <c r="D15" s="8" t="inlineStr">
        <is>
          <t>Secretário-Geral</t>
        </is>
      </c>
      <c r="E15" s="8" t="inlineStr">
        <is>
          <t>Otávio Brandelli</t>
        </is>
      </c>
      <c r="F15" s="8" t="inlineStr">
        <is>
          <t>Casa Civil</t>
        </is>
      </c>
      <c r="G15" s="8" t="inlineStr">
        <is>
          <t>Secretário-Executivo da Casa Civil da Presidência da República, Jônathas Assunção Salvador Nery de Castro</t>
        </is>
      </c>
      <c r="H15" s="8" t="inlineStr">
        <is>
          <t>Palácio do Planalto</t>
        </is>
      </c>
      <c r="I15" s="8" t="inlineStr">
        <is>
          <t>Mantido</t>
        </is>
      </c>
      <c r="J15" s="8" t="inlineStr">
        <is>
          <t>Interlocutor de órgão do escopo; título sem tema de política externa; composição aparentemente restrita.</t>
        </is>
      </c>
      <c r="K15" s="8" t="inlineStr"/>
      <c r="L15" s="8" t="n">
        <v>14</v>
      </c>
      <c r="M15" s="8" t="inlineStr">
        <is>
          <t>https://www.gov.br/mre/pt-br/agendas/agendas-de-autoridades-anteriores/agenda-antiga-otavio-brandelli/2021-05-27</t>
        </is>
      </c>
    </row>
    <row r="16">
      <c r="A16" s="8" t="n">
        <v>29</v>
      </c>
      <c r="B16" s="9" t="n">
        <v>44344</v>
      </c>
      <c r="C16" s="8" t="inlineStr">
        <is>
          <t>08:00</t>
        </is>
      </c>
      <c r="D16" s="8" t="inlineStr">
        <is>
          <t>Secretário-Geral</t>
        </is>
      </c>
      <c r="E16" s="8" t="inlineStr">
        <is>
          <t>Otávio Brandelli</t>
        </is>
      </c>
      <c r="F16" s="8" t="inlineStr">
        <is>
          <t>Casa Civil</t>
        </is>
      </c>
      <c r="G16" s="8" t="inlineStr">
        <is>
          <t>Secretário-Executivo da Casa Civil da Presidência da República, Jônathas Assunção Salvador Nery de Castro</t>
        </is>
      </c>
      <c r="H16" s="8" t="inlineStr">
        <is>
          <t>Escola Nacional de Administração Pública - ENAP</t>
        </is>
      </c>
      <c r="I16" s="8" t="inlineStr">
        <is>
          <t>Mantido</t>
        </is>
      </c>
      <c r="J16" s="8" t="inlineStr">
        <is>
          <t>Interlocutor de órgão do escopo; título sem tema de política externa; composição aparentemente restrita.</t>
        </is>
      </c>
      <c r="K16" s="8" t="inlineStr">
        <is>
          <t>Local (ENAP) sugere evento; porte não verificável.</t>
        </is>
      </c>
      <c r="L16" s="8" t="n">
        <v>15</v>
      </c>
      <c r="M16" s="8" t="inlineStr">
        <is>
          <t>https://www.gov.br/mre/pt-br/agendas/agendas-de-autoridades-anteriores/agenda-antiga-otavio-brandelli/2021-05-28</t>
        </is>
      </c>
    </row>
    <row r="17">
      <c r="A17" s="8" t="n">
        <v>30</v>
      </c>
      <c r="B17" s="9" t="n">
        <v>44355</v>
      </c>
      <c r="C17" s="8" t="inlineStr">
        <is>
          <t>14:30</t>
        </is>
      </c>
      <c r="D17" s="8" t="inlineStr">
        <is>
          <t>Ministro de Estado</t>
        </is>
      </c>
      <c r="E17" s="8" t="inlineStr">
        <is>
          <t>Carlos Alberto Franco França</t>
        </is>
      </c>
      <c r="F17" s="8" t="inlineStr">
        <is>
          <t>Casa Civil</t>
        </is>
      </c>
      <c r="G17" s="8" t="inlineStr">
        <is>
          <t>Ministro-Chefe da Casa Civil da Presidência da República, Luiz Eduardo Ramos</t>
        </is>
      </c>
      <c r="H17" s="8" t="inlineStr">
        <is>
          <t>Palácio do Planalto</t>
        </is>
      </c>
      <c r="I17" s="8" t="inlineStr">
        <is>
          <t>Mantido</t>
        </is>
      </c>
      <c r="J17" s="8" t="inlineStr">
        <is>
          <t>Interlocutor de órgão do escopo; título sem tema de política externa; composição aparentemente restrita.</t>
        </is>
      </c>
      <c r="K17" s="8" t="inlineStr">
        <is>
          <t>Ramos chefiou a Casa Civil de 29/03/2021 a 03/08/2021.</t>
        </is>
      </c>
      <c r="L17" s="8" t="n">
        <v>16</v>
      </c>
      <c r="M17" s="8" t="inlineStr">
        <is>
          <t>https://www.gov.br/mre/pt-br/agendas/agendas-de-autoridades-anteriores/agenda-antiga-carlos-alberto-franco-franca/2021-06-08</t>
        </is>
      </c>
    </row>
    <row r="18">
      <c r="A18" s="8" t="n">
        <v>31</v>
      </c>
      <c r="B18" s="9" t="n">
        <v>44356</v>
      </c>
      <c r="C18" s="8" t="inlineStr">
        <is>
          <t>15:00</t>
        </is>
      </c>
      <c r="D18" s="8" t="inlineStr">
        <is>
          <t>Ministro de Estado</t>
        </is>
      </c>
      <c r="E18" s="8" t="inlineStr">
        <is>
          <t>Carlos Alberto Franco França</t>
        </is>
      </c>
      <c r="F18" s="8" t="inlineStr">
        <is>
          <t>Ministério da Economia</t>
        </is>
      </c>
      <c r="G18" s="8" t="inlineStr">
        <is>
          <t>Ministro de Estado da Economia, Paulo Guedes</t>
        </is>
      </c>
      <c r="H18" s="8" t="inlineStr">
        <is>
          <t>Ministério da Economia, Bloco P</t>
        </is>
      </c>
      <c r="I18" s="8" t="inlineStr">
        <is>
          <t>Mantido</t>
        </is>
      </c>
      <c r="J18" s="8" t="inlineStr">
        <is>
          <t>Interlocutor de órgão do escopo; título sem tema de política externa; composição aparentemente restrita.</t>
        </is>
      </c>
      <c r="K18" s="8" t="inlineStr"/>
      <c r="L18" s="8" t="n">
        <v>17</v>
      </c>
      <c r="M18" s="8" t="inlineStr">
        <is>
          <t>https://www.gov.br/mre/pt-br/agendas/agendas-de-autoridades-anteriores/agenda-antiga-carlos-alberto-franco-franca/2021-06-09</t>
        </is>
      </c>
    </row>
    <row r="19">
      <c r="A19" s="8" t="n">
        <v>32</v>
      </c>
      <c r="B19" s="9" t="n">
        <v>44356</v>
      </c>
      <c r="C19" s="8" t="inlineStr">
        <is>
          <t>15:00</t>
        </is>
      </c>
      <c r="D19" s="8" t="inlineStr">
        <is>
          <t>Secretário-Geral</t>
        </is>
      </c>
      <c r="E19" s="8" t="inlineStr">
        <is>
          <t>Fernando Simas Magalhães</t>
        </is>
      </c>
      <c r="F19" s="8" t="inlineStr">
        <is>
          <t>Ministério da Economia</t>
        </is>
      </c>
      <c r="G19" s="8" t="inlineStr">
        <is>
          <t>Acompanha o Ministro das Relações Exteriores em reunião com o Ministro de Estado da Economia, Paulo Guedes</t>
        </is>
      </c>
      <c r="H19" s="8" t="inlineStr">
        <is>
          <t>Gabinete do Ministro</t>
        </is>
      </c>
      <c r="I19" s="8" t="inlineStr">
        <is>
          <t>Mantido</t>
        </is>
      </c>
      <c r="J19" s="8" t="inlineStr">
        <is>
          <t>Interlocutor de órgão do escopo; título sem tema de política externa; composição aparentemente restrita.</t>
        </is>
      </c>
      <c r="K19" s="8" t="inlineStr">
        <is>
          <t>Registro da Secretaria-Geral do mesmo evento da agenda do Ministro de Estado.</t>
        </is>
      </c>
      <c r="L19" s="8" t="n">
        <v>17</v>
      </c>
      <c r="M19" s="8" t="inlineStr">
        <is>
          <t>https://www.gov.br/mre/pt-br/agendas/agendas-de-autoridades-anteriores/agenda-antiga-fernando-simas-magalhaes/2021-06-09</t>
        </is>
      </c>
    </row>
    <row r="20">
      <c r="A20" s="8" t="n">
        <v>33</v>
      </c>
      <c r="B20" s="9" t="n">
        <v>44357</v>
      </c>
      <c r="C20" s="8" t="inlineStr">
        <is>
          <t>17:00</t>
        </is>
      </c>
      <c r="D20" s="8" t="inlineStr">
        <is>
          <t>Ministro de Estado</t>
        </is>
      </c>
      <c r="E20" s="8" t="inlineStr">
        <is>
          <t>Carlos Alberto Franco França</t>
        </is>
      </c>
      <c r="F20" s="8" t="inlineStr">
        <is>
          <t>Casa Civil</t>
        </is>
      </c>
      <c r="G20" s="8" t="inlineStr">
        <is>
          <t>Ministro-Chefe da Casa Civil da Presidência da República, Luiz Eduardo Ramos</t>
        </is>
      </c>
      <c r="H20" s="8" t="inlineStr">
        <is>
          <t>Palácio do Planalto</t>
        </is>
      </c>
      <c r="I20" s="8" t="inlineStr">
        <is>
          <t>Mantido</t>
        </is>
      </c>
      <c r="J20" s="8" t="inlineStr">
        <is>
          <t>Interlocutor de órgão do escopo; título sem tema de política externa; composição aparentemente restrita.</t>
        </is>
      </c>
      <c r="K20" s="8" t="inlineStr">
        <is>
          <t>Ramos chefiou a Casa Civil de 29/03/2021 a 03/08/2021.</t>
        </is>
      </c>
      <c r="L20" s="8" t="n">
        <v>18</v>
      </c>
      <c r="M20" s="8" t="inlineStr">
        <is>
          <t>https://www.gov.br/mre/pt-br/agendas/agendas-de-autoridades-anteriores/agenda-antiga-carlos-alberto-franco-franca/2021-06-10</t>
        </is>
      </c>
    </row>
    <row r="21">
      <c r="A21" s="8" t="n">
        <v>34</v>
      </c>
      <c r="B21" s="9" t="n">
        <v>44358</v>
      </c>
      <c r="C21" s="8" t="inlineStr">
        <is>
          <t>10:00</t>
        </is>
      </c>
      <c r="D21" s="8" t="inlineStr">
        <is>
          <t>Ministro de Estado</t>
        </is>
      </c>
      <c r="E21" s="8" t="inlineStr">
        <is>
          <t>Carlos Alberto Franco França</t>
        </is>
      </c>
      <c r="F21" s="8" t="inlineStr">
        <is>
          <t>Ministério da Economia</t>
        </is>
      </c>
      <c r="G21" s="8" t="inlineStr">
        <is>
          <t>Senhor Paulo Guedes, Ministro de Estado da Economia</t>
        </is>
      </c>
      <c r="H21" s="8" t="inlineStr">
        <is>
          <t>Ministério da Economia, Bloco P</t>
        </is>
      </c>
      <c r="I21" s="8" t="inlineStr">
        <is>
          <t>Mantido</t>
        </is>
      </c>
      <c r="J21" s="8" t="inlineStr">
        <is>
          <t>Interlocutor de órgão do escopo; título sem tema de política externa; composição aparentemente restrita.</t>
        </is>
      </c>
      <c r="K21" s="8" t="inlineStr"/>
      <c r="L21" s="8" t="n">
        <v>19</v>
      </c>
      <c r="M21" s="8" t="inlineStr">
        <is>
          <t>https://www.gov.br/mre/pt-br/agendas/agendas-de-autoridades-anteriores/agenda-antiga-carlos-alberto-franco-franca/2021-06-11</t>
        </is>
      </c>
    </row>
    <row r="22">
      <c r="A22" s="8" t="n">
        <v>35</v>
      </c>
      <c r="B22" s="9" t="n">
        <v>44364</v>
      </c>
      <c r="C22" s="8" t="inlineStr">
        <is>
          <t>18:30</t>
        </is>
      </c>
      <c r="D22" s="8" t="inlineStr">
        <is>
          <t>Ministro de Estado</t>
        </is>
      </c>
      <c r="E22" s="8" t="inlineStr">
        <is>
          <t>Carlos Alberto Franco França</t>
        </is>
      </c>
      <c r="F22" s="8" t="inlineStr">
        <is>
          <t>Ministério da Economia</t>
        </is>
      </c>
      <c r="G22" s="8" t="inlineStr">
        <is>
          <t>Senhor Paulo Guedes, Ministro de Estado da Economia</t>
        </is>
      </c>
      <c r="H22" s="8" t="inlineStr">
        <is>
          <t>Ministério da Economia, Esplanada dos Ministérios, Bloco P, 5º Andar</t>
        </is>
      </c>
      <c r="I22" s="8" t="inlineStr">
        <is>
          <t>Mantido</t>
        </is>
      </c>
      <c r="J22" s="8" t="inlineStr">
        <is>
          <t>Interlocutor de órgão do escopo; título sem tema de política externa; composição aparentemente restrita.</t>
        </is>
      </c>
      <c r="K22" s="8" t="inlineStr"/>
      <c r="L22" s="8" t="n">
        <v>20</v>
      </c>
      <c r="M22" s="8" t="inlineStr">
        <is>
          <t>https://www.gov.br/mre/pt-br/agendas/agendas-de-autoridades-anteriores/agenda-antiga-carlos-alberto-franco-franca/2021-06-17</t>
        </is>
      </c>
    </row>
    <row r="23">
      <c r="A23" s="8" t="n">
        <v>36</v>
      </c>
      <c r="B23" s="9" t="n">
        <v>44364</v>
      </c>
      <c r="C23" s="8" t="inlineStr">
        <is>
          <t>18:30</t>
        </is>
      </c>
      <c r="D23" s="8" t="inlineStr">
        <is>
          <t>Secretário-Geral</t>
        </is>
      </c>
      <c r="E23" s="8" t="inlineStr">
        <is>
          <t>Fernando Simas Magalhães</t>
        </is>
      </c>
      <c r="F23" s="8" t="inlineStr">
        <is>
          <t>Ministério da Economia</t>
        </is>
      </c>
      <c r="G23" s="8" t="inlineStr">
        <is>
          <t>Acompanha o Ministro das Relações Exteriores em videoconferência com o Ministro de Estado da Economia, Paulo Guedes</t>
        </is>
      </c>
      <c r="H23" s="8" t="inlineStr">
        <is>
          <t>Ministério da Economia</t>
        </is>
      </c>
      <c r="I23" s="8" t="inlineStr">
        <is>
          <t>Mantido</t>
        </is>
      </c>
      <c r="J23" s="8" t="inlineStr">
        <is>
          <t>Interlocutor de órgão do escopo; título sem tema de política externa; composição aparentemente restrita.</t>
        </is>
      </c>
      <c r="K23" s="8" t="inlineStr">
        <is>
          <t>Registro da Secretaria-Geral do mesmo evento da agenda do Ministro de Estado. Videoconferência.</t>
        </is>
      </c>
      <c r="L23" s="8" t="n">
        <v>20</v>
      </c>
      <c r="M23" s="8" t="inlineStr">
        <is>
          <t>https://www.gov.br/mre/pt-br/agendas/agendas-de-autoridades-anteriores/agenda-antiga-fernando-simas-magalhaes/2021-06-17</t>
        </is>
      </c>
    </row>
    <row r="24">
      <c r="A24" s="8" t="n">
        <v>37</v>
      </c>
      <c r="B24" s="9" t="n">
        <v>44368</v>
      </c>
      <c r="C24" s="8" t="inlineStr">
        <is>
          <t>11:30</t>
        </is>
      </c>
      <c r="D24" s="8" t="inlineStr">
        <is>
          <t>Ministro de Estado</t>
        </is>
      </c>
      <c r="E24" s="8" t="inlineStr">
        <is>
          <t>Carlos Alberto Franco França</t>
        </is>
      </c>
      <c r="F24" s="8" t="inlineStr">
        <is>
          <t>Casa Civil</t>
        </is>
      </c>
      <c r="G24" s="8" t="inlineStr">
        <is>
          <t>Senhor Jônathas Assunção de Castro, Secretário-Executivo da Casa Civil da Presidência da República</t>
        </is>
      </c>
      <c r="H24" s="8" t="inlineStr">
        <is>
          <t>Palácio do Planalto, 4º andar, sala 418</t>
        </is>
      </c>
      <c r="I24" s="8" t="inlineStr">
        <is>
          <t>Mantido</t>
        </is>
      </c>
      <c r="J24" s="8" t="inlineStr">
        <is>
          <t>Interlocutor de órgão do escopo; título sem tema de política externa; composição aparentemente restrita.</t>
        </is>
      </c>
      <c r="K24" s="8" t="inlineStr"/>
      <c r="L24" s="8" t="n">
        <v>21</v>
      </c>
      <c r="M24" s="8" t="inlineStr">
        <is>
          <t>https://www.gov.br/mre/pt-br/agendas/agendas-de-autoridades-anteriores/agenda-antiga-carlos-alberto-franco-franca/2021-06-21</t>
        </is>
      </c>
    </row>
    <row r="25">
      <c r="A25" s="8" t="n">
        <v>38</v>
      </c>
      <c r="B25" s="9" t="n">
        <v>44368</v>
      </c>
      <c r="C25" s="8" t="inlineStr">
        <is>
          <t>11:30</t>
        </is>
      </c>
      <c r="D25" s="8" t="inlineStr">
        <is>
          <t>Secretário-Geral</t>
        </is>
      </c>
      <c r="E25" s="8" t="inlineStr">
        <is>
          <t>Fernando Simas Magalhães</t>
        </is>
      </c>
      <c r="F25" s="8" t="inlineStr">
        <is>
          <t>Casa Civil</t>
        </is>
      </c>
      <c r="G25" s="8" t="inlineStr">
        <is>
          <t>Acompanha o Ministro das Relações Exteriores em reunião com o Senhor Jônathas Assunção de Castro, Secretário-Executivo da Casa Civil da Presidência da República</t>
        </is>
      </c>
      <c r="H25" s="8" t="inlineStr">
        <is>
          <t>Palácio do Planalto, 4º andar, sala 418</t>
        </is>
      </c>
      <c r="I25" s="8" t="inlineStr">
        <is>
          <t>Mantido</t>
        </is>
      </c>
      <c r="J25" s="8" t="inlineStr">
        <is>
          <t>Interlocutor de órgão do escopo; título sem tema de política externa; composição aparentemente restrita.</t>
        </is>
      </c>
      <c r="K25" s="8" t="inlineStr">
        <is>
          <t>Registro da Secretaria-Geral do mesmo evento da agenda do Ministro de Estado.</t>
        </is>
      </c>
      <c r="L25" s="8" t="n">
        <v>21</v>
      </c>
      <c r="M25" s="8" t="inlineStr">
        <is>
          <t>https://www.gov.br/mre/pt-br/agendas/agendas-de-autoridades-anteriores/agenda-antiga-fernando-simas-magalhaes/2021-06-21</t>
        </is>
      </c>
    </row>
    <row r="26">
      <c r="A26" s="8" t="n">
        <v>39</v>
      </c>
      <c r="B26" s="9" t="n">
        <v>44369</v>
      </c>
      <c r="C26" s="8" t="inlineStr">
        <is>
          <t>09:30</t>
        </is>
      </c>
      <c r="D26" s="8" t="inlineStr">
        <is>
          <t>Ministro de Estado</t>
        </is>
      </c>
      <c r="E26" s="8" t="inlineStr">
        <is>
          <t>Carlos Alberto Franco França</t>
        </is>
      </c>
      <c r="F26" s="8" t="inlineStr">
        <is>
          <t>Ministério da Economia — Secretaria de Orçamento Federal</t>
        </is>
      </c>
      <c r="G26" s="8" t="inlineStr">
        <is>
          <t>Senhor Marcelo Pacheco dos Guaranys, Secretário- Executivo do Ministério da Economia, e Senhor Ariosto Antunes Culau, Secretário de Orçamento Federal do Ministério da Economia</t>
        </is>
      </c>
      <c r="H26" s="8" t="inlineStr">
        <is>
          <t>Gabinete</t>
        </is>
      </c>
      <c r="I26" s="8" t="inlineStr">
        <is>
          <t>Mantido</t>
        </is>
      </c>
      <c r="J26" s="8" t="inlineStr">
        <is>
          <t>Interlocutor de órgão do escopo; título sem tema de política externa; composição aparentemente restrita.</t>
        </is>
      </c>
      <c r="K26" s="8" t="inlineStr"/>
      <c r="L26" s="8" t="n">
        <v>22</v>
      </c>
      <c r="M26" s="8" t="inlineStr">
        <is>
          <t>https://www.gov.br/mre/pt-br/agendas/agendas-de-autoridades-anteriores/agenda-antiga-carlos-alberto-franco-franca/2021-06-22</t>
        </is>
      </c>
    </row>
    <row r="27">
      <c r="A27" s="8" t="n">
        <v>40</v>
      </c>
      <c r="B27" s="9" t="n">
        <v>44369</v>
      </c>
      <c r="C27" s="8" t="inlineStr">
        <is>
          <t>09:30</t>
        </is>
      </c>
      <c r="D27" s="8" t="inlineStr">
        <is>
          <t>Secretário-Geral</t>
        </is>
      </c>
      <c r="E27" s="8" t="inlineStr">
        <is>
          <t>Fernando Simas Magalhães</t>
        </is>
      </c>
      <c r="F27" s="8" t="inlineStr">
        <is>
          <t>Ministério da Economia — Secretaria de Orçamento Federal</t>
        </is>
      </c>
      <c r="G27" s="8" t="inlineStr">
        <is>
          <t>Acompanha o Ministro das Relações Exteriores em reunião com o Senhor Marcelo Pacheco dos Guaranys, Secretário-Executivo do Ministério da Economia e Senhor Ariosto Antunes Culau, Secretário de Orçamento Federal do Ministério da Economia</t>
        </is>
      </c>
      <c r="H27" s="8" t="inlineStr">
        <is>
          <t>Gabinete do Ministro</t>
        </is>
      </c>
      <c r="I27" s="8" t="inlineStr">
        <is>
          <t>Mantido</t>
        </is>
      </c>
      <c r="J27" s="8" t="inlineStr">
        <is>
          <t>Interlocutor de órgão do escopo; título sem tema de política externa; composição aparentemente restrita.</t>
        </is>
      </c>
      <c r="K27" s="8" t="inlineStr">
        <is>
          <t>Registro da Secretaria-Geral do mesmo evento da agenda do Ministro de Estado.</t>
        </is>
      </c>
      <c r="L27" s="8" t="n">
        <v>22</v>
      </c>
      <c r="M27" s="8" t="inlineStr">
        <is>
          <t>https://www.gov.br/mre/pt-br/agendas/agendas-de-autoridades-anteriores/agenda-antiga-fernando-simas-magalhaes/2021-06-22</t>
        </is>
      </c>
    </row>
    <row r="28">
      <c r="A28" s="8" t="n">
        <v>42</v>
      </c>
      <c r="B28" s="9" t="n">
        <v>44389</v>
      </c>
      <c r="C28" s="8" t="inlineStr">
        <is>
          <t>12:00</t>
        </is>
      </c>
      <c r="D28" s="8" t="inlineStr">
        <is>
          <t>Ministro de Estado</t>
        </is>
      </c>
      <c r="E28" s="8" t="inlineStr">
        <is>
          <t>Carlos Alberto Franco França</t>
        </is>
      </c>
      <c r="F28" s="8" t="inlineStr">
        <is>
          <t>Ministério da Economia</t>
        </is>
      </c>
      <c r="G28" s="8" t="inlineStr">
        <is>
          <t>Senhor Paulo Guedes, Ministro de Estado do Economia</t>
        </is>
      </c>
      <c r="H28" s="8" t="inlineStr">
        <is>
          <t>Ministério da Economia, Bloco P</t>
        </is>
      </c>
      <c r="I28" s="8" t="inlineStr">
        <is>
          <t>Mantido</t>
        </is>
      </c>
      <c r="J28" s="8" t="inlineStr">
        <is>
          <t>Interlocutor de órgão do escopo; título sem tema de política externa; composição aparentemente restrita.</t>
        </is>
      </c>
      <c r="K28" s="8" t="inlineStr"/>
      <c r="L28" s="8" t="n">
        <v>23</v>
      </c>
      <c r="M28" s="8" t="inlineStr">
        <is>
          <t>https://www.gov.br/mre/pt-br/agendas/agendas-de-autoridades-anteriores/agenda-antiga-carlos-alberto-franco-franca/2021-07-12</t>
        </is>
      </c>
    </row>
    <row r="29">
      <c r="A29" s="8" t="n">
        <v>44</v>
      </c>
      <c r="B29" s="9" t="n">
        <v>44391</v>
      </c>
      <c r="C29" s="8" t="inlineStr">
        <is>
          <t>15:30</t>
        </is>
      </c>
      <c r="D29" s="8" t="inlineStr">
        <is>
          <t>Secretário-Geral</t>
        </is>
      </c>
      <c r="E29" s="8" t="inlineStr">
        <is>
          <t>Fernando Simas Magalhães</t>
        </is>
      </c>
      <c r="F29" s="8" t="inlineStr">
        <is>
          <t>Casa Civil</t>
        </is>
      </c>
      <c r="G29" s="8" t="inlineStr">
        <is>
          <t>Secretário Executivo da Casa Civil da Presidência da República, Jônathas Assunção de Castro,</t>
        </is>
      </c>
      <c r="H29" s="8" t="inlineStr">
        <is>
          <t>Secretaria-Executiva da Casa Civil da Presidência da República</t>
        </is>
      </c>
      <c r="I29" s="8" t="inlineStr">
        <is>
          <t>Mantido</t>
        </is>
      </c>
      <c r="J29" s="8" t="inlineStr">
        <is>
          <t>Interlocutor de órgão do escopo; título sem tema de política externa; composição aparentemente restrita.</t>
        </is>
      </c>
      <c r="K29" s="8" t="inlineStr"/>
      <c r="L29" s="8" t="n">
        <v>24</v>
      </c>
      <c r="M29" s="8" t="inlineStr">
        <is>
          <t>https://www.gov.br/mre/pt-br/agendas/agendas-de-autoridades-anteriores/agenda-antiga-fernando-simas-magalhaes/2021-07-14</t>
        </is>
      </c>
    </row>
    <row r="30">
      <c r="A30" s="8" t="n">
        <v>48</v>
      </c>
      <c r="B30" s="9" t="n">
        <v>44411</v>
      </c>
      <c r="C30" s="8" t="inlineStr">
        <is>
          <t>10:00</t>
        </is>
      </c>
      <c r="D30" s="8" t="inlineStr">
        <is>
          <t>Secretário-Geral</t>
        </is>
      </c>
      <c r="E30" s="8" t="inlineStr">
        <is>
          <t>Fernando Simas Magalhães</t>
        </is>
      </c>
      <c r="F30" s="8" t="inlineStr">
        <is>
          <t>Ministério da Economia</t>
        </is>
      </c>
      <c r="G30" s="8" t="inlineStr">
        <is>
          <t>Senhor Roberto Fendt Júnior, Secretário Especial de Comércio Exterior e Assuntos Internacionais do Ministério da Economia</t>
        </is>
      </c>
      <c r="H30" s="8" t="inlineStr">
        <is>
          <t>Secretaria-Geral</t>
        </is>
      </c>
      <c r="I30" s="8" t="inlineStr">
        <is>
          <t>Mantido</t>
        </is>
      </c>
      <c r="J30" s="8" t="inlineStr">
        <is>
          <t>Interlocutor de órgão do escopo; título sem tema de política externa; composição aparentemente restrita.</t>
        </is>
      </c>
      <c r="K30" s="8" t="inlineStr">
        <is>
          <t>Mantido por analogia à decisão do item 1.3 do relatório: o termo 'Internacionais' integra o cargo do interlocutor.</t>
        </is>
      </c>
      <c r="L30" s="8" t="n">
        <v>25</v>
      </c>
      <c r="M30" s="8" t="inlineStr">
        <is>
          <t>https://www.gov.br/mre/pt-br/agendas/agendas-de-autoridades-anteriores/agenda-antiga-fernando-simas-magalhaes/2021-08-03</t>
        </is>
      </c>
    </row>
    <row r="31">
      <c r="A31" s="8" t="n">
        <v>51</v>
      </c>
      <c r="B31" s="9" t="n">
        <v>44413</v>
      </c>
      <c r="C31" s="8" t="inlineStr">
        <is>
          <t>09:30</t>
        </is>
      </c>
      <c r="D31" s="8" t="inlineStr">
        <is>
          <t>Secretário-Geral</t>
        </is>
      </c>
      <c r="E31" s="8" t="inlineStr">
        <is>
          <t>Fernando Simas Magalhães</t>
        </is>
      </c>
      <c r="F31" s="8" t="inlineStr">
        <is>
          <t>Casa Civil</t>
        </is>
      </c>
      <c r="G31" s="8" t="inlineStr">
        <is>
          <t>Senhor Bruno Cesar Grossi de Souza, Secretário Especial de Relações Governamentais da Casa Civil da Presidência da República</t>
        </is>
      </c>
      <c r="H31" s="8" t="inlineStr">
        <is>
          <t>Palácio do Planalto</t>
        </is>
      </c>
      <c r="I31" s="8" t="inlineStr">
        <is>
          <t>Mantido</t>
        </is>
      </c>
      <c r="J31" s="8" t="inlineStr">
        <is>
          <t>Interlocutor de órgão do escopo; título sem tema de política externa; composição aparentemente restrita.</t>
        </is>
      </c>
      <c r="K31" s="8" t="inlineStr"/>
      <c r="L31" s="8" t="n">
        <v>26</v>
      </c>
      <c r="M31" s="8" t="inlineStr">
        <is>
          <t>https://www.gov.br/mre/pt-br/agendas/agendas-de-autoridades-anteriores/agenda-antiga-fernando-simas-magalhaes/2021-08-05</t>
        </is>
      </c>
    </row>
    <row r="32">
      <c r="A32" s="8" t="n">
        <v>52</v>
      </c>
      <c r="B32" s="9" t="n">
        <v>44426</v>
      </c>
      <c r="C32" s="8" t="inlineStr">
        <is>
          <t>12:30</t>
        </is>
      </c>
      <c r="D32" s="8" t="inlineStr">
        <is>
          <t>Ministro de Estado</t>
        </is>
      </c>
      <c r="E32" s="8" t="inlineStr">
        <is>
          <t>Carlos Alberto Franco França</t>
        </is>
      </c>
      <c r="F32" s="8" t="inlineStr">
        <is>
          <t>Casa Civil</t>
        </is>
      </c>
      <c r="G32" s="8" t="inlineStr">
        <is>
          <t>Almoço em homenagem ao Ministro-Chefe da Casa Civil, Senador Ciro Nogueira</t>
        </is>
      </c>
      <c r="H32" s="8" t="inlineStr">
        <is>
          <t>Sala Rio de Janeiro</t>
        </is>
      </c>
      <c r="I32" s="8" t="inlineStr">
        <is>
          <t>Mantido</t>
        </is>
      </c>
      <c r="J32" s="8" t="inlineStr">
        <is>
          <t>Interlocutor de órgão do escopo; título sem tema de política externa; composição aparentemente restrita.</t>
        </is>
      </c>
      <c r="K32" s="8" t="inlineStr">
        <is>
          <t>Almoço; porte não verificável (a agenda gov.br não lista participantes).</t>
        </is>
      </c>
      <c r="L32" s="8" t="n">
        <v>27</v>
      </c>
      <c r="M32" s="8" t="inlineStr">
        <is>
          <t>https://www.gov.br/mre/pt-br/agendas/agendas-de-autoridades-anteriores/agenda-antiga-carlos-alberto-franco-franca/2021-08-18</t>
        </is>
      </c>
    </row>
    <row r="33">
      <c r="A33" s="8" t="n">
        <v>53</v>
      </c>
      <c r="B33" s="9" t="n">
        <v>44426</v>
      </c>
      <c r="C33" s="8" t="inlineStr">
        <is>
          <t>12:30</t>
        </is>
      </c>
      <c r="D33" s="8" t="inlineStr">
        <is>
          <t>Secretário-Geral</t>
        </is>
      </c>
      <c r="E33" s="8" t="inlineStr">
        <is>
          <t>Fernando Simas Magalhães</t>
        </is>
      </c>
      <c r="F33" s="8" t="inlineStr">
        <is>
          <t>Casa Civil</t>
        </is>
      </c>
      <c r="G33" s="8" t="inlineStr">
        <is>
          <t>Acompanha o Ministro das Relações Exteriores em almoço em homenagem ao Ministro-Chefe da Casa Civil, Senador Ciro Nogueira</t>
        </is>
      </c>
      <c r="H33" s="8" t="inlineStr">
        <is>
          <t>Sala Rio de Janeiro</t>
        </is>
      </c>
      <c r="I33" s="8" t="inlineStr">
        <is>
          <t>Mantido</t>
        </is>
      </c>
      <c r="J33" s="8" t="inlineStr">
        <is>
          <t>Interlocutor de órgão do escopo; título sem tema de política externa; composição aparentemente restrita.</t>
        </is>
      </c>
      <c r="K33" s="8" t="inlineStr">
        <is>
          <t>Registro da Secretaria-Geral do mesmo evento da agenda do Ministro de Estado. Almoço; porte não verificável (a agenda gov.br não lista participantes).</t>
        </is>
      </c>
      <c r="L33" s="8" t="n">
        <v>27</v>
      </c>
      <c r="M33" s="8" t="inlineStr">
        <is>
          <t>https://www.gov.br/mre/pt-br/agendas/agendas-de-autoridades-anteriores/agenda-antiga-fernando-simas-magalhaes/2021-08-18</t>
        </is>
      </c>
    </row>
    <row r="34">
      <c r="A34" s="8" t="n">
        <v>55</v>
      </c>
      <c r="B34" s="9" t="n">
        <v>44433</v>
      </c>
      <c r="C34" s="8" t="inlineStr">
        <is>
          <t>17:00</t>
        </is>
      </c>
      <c r="D34" s="8" t="inlineStr">
        <is>
          <t>Secretário-Geral</t>
        </is>
      </c>
      <c r="E34" s="8" t="inlineStr">
        <is>
          <t>Fernando Simas Magalhães</t>
        </is>
      </c>
      <c r="F34" s="8" t="inlineStr">
        <is>
          <t>Casa Civil</t>
        </is>
      </c>
      <c r="G34" s="8" t="inlineStr">
        <is>
          <t>Senhor José Lopes Hott Júnior, Subchefe Substituto de Análise e Acompanhamento de Políticas Governamentais da Casa Civil da Presidência da República</t>
        </is>
      </c>
      <c r="H34" s="8" t="inlineStr">
        <is>
          <t>Palácio do Planalto</t>
        </is>
      </c>
      <c r="I34" s="8" t="inlineStr">
        <is>
          <t>Mantido</t>
        </is>
      </c>
      <c r="J34" s="8" t="inlineStr">
        <is>
          <t>Interlocutor de órgão do escopo; título sem tema de política externa; composição aparentemente restrita.</t>
        </is>
      </c>
      <c r="K34" s="8" t="inlineStr"/>
      <c r="L34" s="8" t="n">
        <v>28</v>
      </c>
      <c r="M34" s="8" t="inlineStr">
        <is>
          <t>https://www.gov.br/mre/pt-br/agendas/agendas-de-autoridades-anteriores/agenda-antiga-fernando-simas-magalhaes/2021-08-25</t>
        </is>
      </c>
    </row>
    <row r="35">
      <c r="A35" s="8" t="n">
        <v>56</v>
      </c>
      <c r="B35" s="9" t="n">
        <v>44441</v>
      </c>
      <c r="C35" s="8" t="inlineStr">
        <is>
          <t>18:00</t>
        </is>
      </c>
      <c r="D35" s="8" t="inlineStr">
        <is>
          <t>Ministro de Estado</t>
        </is>
      </c>
      <c r="E35" s="8" t="inlineStr">
        <is>
          <t>Carlos Alberto Franco França</t>
        </is>
      </c>
      <c r="F35" s="8" t="inlineStr">
        <is>
          <t>Ministério da Economia</t>
        </is>
      </c>
      <c r="G35" s="8" t="inlineStr">
        <is>
          <t>Senhor Carlos Alexandre Jorge Da Costa, Secretário Especial de Produtividade e Competitividade do Ministério da Economia</t>
        </is>
      </c>
      <c r="H35" s="8" t="inlineStr">
        <is>
          <t>Gabinete</t>
        </is>
      </c>
      <c r="I35" s="8" t="inlineStr">
        <is>
          <t>Mantido</t>
        </is>
      </c>
      <c r="J35" s="8" t="inlineStr">
        <is>
          <t>Interlocutor de órgão do escopo; título sem tema de política externa; composição aparentemente restrita.</t>
        </is>
      </c>
      <c r="K35" s="8" t="inlineStr"/>
      <c r="L35" s="8" t="n">
        <v>29</v>
      </c>
      <c r="M35" s="8" t="inlineStr">
        <is>
          <t>https://www.gov.br/mre/pt-br/agendas/agendas-de-autoridades-anteriores/agenda-antiga-carlos-alberto-franco-franca/2021-09-02</t>
        </is>
      </c>
    </row>
    <row r="36">
      <c r="A36" s="8" t="n">
        <v>57</v>
      </c>
      <c r="B36" s="9" t="n">
        <v>44448</v>
      </c>
      <c r="C36" s="8" t="inlineStr">
        <is>
          <t>12:30</t>
        </is>
      </c>
      <c r="D36" s="8" t="inlineStr">
        <is>
          <t>Ministro de Estado</t>
        </is>
      </c>
      <c r="E36" s="8" t="inlineStr">
        <is>
          <t>Carlos Alberto Franco França</t>
        </is>
      </c>
      <c r="F36" s="8" t="inlineStr">
        <is>
          <t>Ministério da Economia</t>
        </is>
      </c>
      <c r="G36" s="8" t="inlineStr">
        <is>
          <t>Senhor Caio Mario Paes de Andrade, Secretário Especial de Desburocratização, Gestão e Governo Digital do Ministério da Economia</t>
        </is>
      </c>
      <c r="H36" s="8" t="inlineStr">
        <is>
          <t>Gabinete</t>
        </is>
      </c>
      <c r="I36" s="8" t="inlineStr">
        <is>
          <t>Mantido</t>
        </is>
      </c>
      <c r="J36" s="8" t="inlineStr">
        <is>
          <t>Interlocutor de órgão do escopo; título sem tema de política externa; composição aparentemente restrita.</t>
        </is>
      </c>
      <c r="K36" s="8" t="inlineStr">
        <is>
          <t>Reunião e almoço do mesmo dia: dois registros, uma visita.</t>
        </is>
      </c>
      <c r="L36" s="8" t="n">
        <v>30</v>
      </c>
      <c r="M36" s="8" t="inlineStr">
        <is>
          <t>https://www.gov.br/mre/pt-br/agendas/agendas-de-autoridades-anteriores/agenda-antiga-carlos-alberto-franco-franca/2021-09-09</t>
        </is>
      </c>
    </row>
    <row r="37">
      <c r="A37" s="8" t="n">
        <v>58</v>
      </c>
      <c r="B37" s="9" t="n">
        <v>44448</v>
      </c>
      <c r="C37" s="8" t="inlineStr">
        <is>
          <t>13:00</t>
        </is>
      </c>
      <c r="D37" s="8" t="inlineStr">
        <is>
          <t>Ministro de Estado</t>
        </is>
      </c>
      <c r="E37" s="8" t="inlineStr">
        <is>
          <t>Carlos Alberto Franco França</t>
        </is>
      </c>
      <c r="F37" s="8" t="inlineStr">
        <is>
          <t>Ministério da Economia</t>
        </is>
      </c>
      <c r="G37" s="8" t="inlineStr">
        <is>
          <t>Almoço oferecido em homenagem ao Senhor Caio Mario Paes de Andrade, Secretário Especial de Desburocratização, Gestão e Governo Digital do Ministério da Economia</t>
        </is>
      </c>
      <c r="H37" s="8" t="inlineStr">
        <is>
          <t>Sala Rio de Janeiro</t>
        </is>
      </c>
      <c r="I37" s="8" t="inlineStr">
        <is>
          <t>Mantido</t>
        </is>
      </c>
      <c r="J37" s="8" t="inlineStr">
        <is>
          <t>Interlocutor de órgão do escopo; título sem tema de política externa; composição aparentemente restrita.</t>
        </is>
      </c>
      <c r="K37" s="8" t="inlineStr">
        <is>
          <t>Almoço; porte não verificável (a agenda gov.br não lista participantes). Reunião e almoço do mesmo dia: dois registros, uma visita.</t>
        </is>
      </c>
      <c r="L37" s="8" t="n">
        <v>31</v>
      </c>
      <c r="M37" s="8" t="inlineStr">
        <is>
          <t>https://www.gov.br/mre/pt-br/agendas/agendas-de-autoridades-anteriores/agenda-antiga-carlos-alberto-franco-franca/2021-09-09</t>
        </is>
      </c>
    </row>
    <row r="38">
      <c r="A38" s="8" t="n">
        <v>59</v>
      </c>
      <c r="B38" s="9" t="n">
        <v>44461</v>
      </c>
      <c r="C38" s="8" t="inlineStr">
        <is>
          <t>12:00</t>
        </is>
      </c>
      <c r="D38" s="8" t="inlineStr">
        <is>
          <t>Secretário-Geral</t>
        </is>
      </c>
      <c r="E38" s="8" t="inlineStr">
        <is>
          <t>Fernando Simas Magalhães</t>
        </is>
      </c>
      <c r="F38" s="8" t="inlineStr">
        <is>
          <t>Ministério da Economia</t>
        </is>
      </c>
      <c r="G38" s="8" t="inlineStr">
        <is>
          <t>Senhor Roberto Fendt Júnior, Secretário Especial de Comércio Exterior e Assuntos Internacionais do Ministério da Economia</t>
        </is>
      </c>
      <c r="H38" s="8" t="inlineStr">
        <is>
          <t>Secretaria-Geral</t>
        </is>
      </c>
      <c r="I38" s="8" t="inlineStr">
        <is>
          <t>Mantido</t>
        </is>
      </c>
      <c r="J38" s="8" t="inlineStr">
        <is>
          <t>Interlocutor de órgão do escopo; título sem tema de política externa; composição aparentemente restrita.</t>
        </is>
      </c>
      <c r="K38" s="8" t="inlineStr">
        <is>
          <t>Mantido por analogia à decisão do item 1.3 do relatório: o termo 'Internacionais' integra o cargo do interlocutor.</t>
        </is>
      </c>
      <c r="L38" s="8" t="n">
        <v>32</v>
      </c>
      <c r="M38" s="8" t="inlineStr">
        <is>
          <t>https://www.gov.br/mre/pt-br/agendas/agendas-de-autoridades-anteriores/agenda-antiga-fernando-simas-magalhaes/2021-09-22</t>
        </is>
      </c>
    </row>
    <row r="39">
      <c r="A39" s="8" t="n">
        <v>60</v>
      </c>
      <c r="B39" s="9" t="n">
        <v>44462</v>
      </c>
      <c r="C39" s="8" t="inlineStr">
        <is>
          <t>16:30</t>
        </is>
      </c>
      <c r="D39" s="8" t="inlineStr">
        <is>
          <t>Secretário-Geral</t>
        </is>
      </c>
      <c r="E39" s="8" t="inlineStr">
        <is>
          <t>Fernando Simas Magalhães</t>
        </is>
      </c>
      <c r="F39" s="8" t="inlineStr">
        <is>
          <t>Casa Civil</t>
        </is>
      </c>
      <c r="G39" s="8" t="inlineStr">
        <is>
          <t>Senhor Jônathas Assunção Salvador Nery de Castro, Secretário-Executivo da Casa Civil da Presidência da República</t>
        </is>
      </c>
      <c r="H39" s="8" t="inlineStr">
        <is>
          <t>Palácio do Planalto</t>
        </is>
      </c>
      <c r="I39" s="8" t="inlineStr">
        <is>
          <t>Mantido</t>
        </is>
      </c>
      <c r="J39" s="8" t="inlineStr">
        <is>
          <t>Interlocutor de órgão do escopo; título sem tema de política externa; composição aparentemente restrita.</t>
        </is>
      </c>
      <c r="K39" s="8" t="inlineStr"/>
      <c r="L39" s="8" t="n">
        <v>33</v>
      </c>
      <c r="M39" s="8" t="inlineStr">
        <is>
          <t>https://www.gov.br/mre/pt-br/agendas/agendas-de-autoridades-anteriores/agenda-antiga-fernando-simas-magalhaes/2021-09-23</t>
        </is>
      </c>
    </row>
    <row r="40">
      <c r="A40" s="8" t="n">
        <v>61</v>
      </c>
      <c r="B40" s="9" t="n">
        <v>44477</v>
      </c>
      <c r="C40" s="8" t="inlineStr">
        <is>
          <t>17:30</t>
        </is>
      </c>
      <c r="D40" s="8" t="inlineStr">
        <is>
          <t>Ministro de Estado</t>
        </is>
      </c>
      <c r="E40" s="8" t="inlineStr">
        <is>
          <t>Carlos Alberto Franco França</t>
        </is>
      </c>
      <c r="F40" s="8" t="inlineStr">
        <is>
          <t>Ministério da Economia</t>
        </is>
      </c>
      <c r="G40" s="8" t="inlineStr">
        <is>
          <t>Reunião com o Senhor Paulo Guedes, Ministro de Estado da Economia</t>
        </is>
      </c>
      <c r="H40" s="8" t="inlineStr">
        <is>
          <t>Ministério da Economia</t>
        </is>
      </c>
      <c r="I40" s="8" t="inlineStr">
        <is>
          <t>Mantido</t>
        </is>
      </c>
      <c r="J40" s="8" t="inlineStr">
        <is>
          <t>Interlocutor de órgão do escopo; título sem tema de política externa; composição aparentemente restrita.</t>
        </is>
      </c>
      <c r="K40" s="8" t="inlineStr"/>
      <c r="L40" s="8" t="n">
        <v>34</v>
      </c>
      <c r="M40" s="8" t="inlineStr">
        <is>
          <t>https://www.gov.br/mre/pt-br/agendas/agendas-de-autoridades-anteriores/agenda-antiga-carlos-alberto-franco-franca/2021-10-08</t>
        </is>
      </c>
    </row>
    <row r="41">
      <c r="A41" s="8" t="n">
        <v>62</v>
      </c>
      <c r="B41" s="9" t="n">
        <v>44488</v>
      </c>
      <c r="C41" s="8" t="inlineStr">
        <is>
          <t>18:30</t>
        </is>
      </c>
      <c r="D41" s="8" t="inlineStr">
        <is>
          <t>Ministro de Estado</t>
        </is>
      </c>
      <c r="E41" s="8" t="inlineStr">
        <is>
          <t>Carlos Alberto Franco França</t>
        </is>
      </c>
      <c r="F41" s="8" t="inlineStr">
        <is>
          <t>Ministério da Economia</t>
        </is>
      </c>
      <c r="G41" s="8" t="inlineStr">
        <is>
          <t>Senhor Carlos da Costa, Secretário Especial de Produtividade e Competitividade do Ministério da Economia</t>
        </is>
      </c>
      <c r="H41" s="8" t="inlineStr">
        <is>
          <t>Gabinete</t>
        </is>
      </c>
      <c r="I41" s="8" t="inlineStr">
        <is>
          <t>Mantido</t>
        </is>
      </c>
      <c r="J41" s="8" t="inlineStr">
        <is>
          <t>Interlocutor de órgão do escopo; título sem tema de política externa; composição aparentemente restrita.</t>
        </is>
      </c>
      <c r="K41" s="8" t="inlineStr"/>
      <c r="L41" s="8" t="n">
        <v>35</v>
      </c>
      <c r="M41" s="8" t="inlineStr">
        <is>
          <t>https://www.gov.br/mre/pt-br/agendas/agendas-de-autoridades-anteriores/agenda-antiga-carlos-alberto-franco-franca/2021-10-19</t>
        </is>
      </c>
    </row>
    <row r="42">
      <c r="A42" s="8" t="n">
        <v>64</v>
      </c>
      <c r="B42" s="9" t="n">
        <v>44519</v>
      </c>
      <c r="C42" s="8" t="inlineStr">
        <is>
          <t>11:15</t>
        </is>
      </c>
      <c r="D42" s="8" t="inlineStr">
        <is>
          <t>Secretário-Geral</t>
        </is>
      </c>
      <c r="E42" s="8" t="inlineStr">
        <is>
          <t>Fernando Simas Magalhães</t>
        </is>
      </c>
      <c r="F42" s="8" t="inlineStr">
        <is>
          <t>Ministério da Economia</t>
        </is>
      </c>
      <c r="G42" s="8" t="inlineStr">
        <is>
          <t>Senhor Marcelo Pacheco dos Guaranys, Secretário-Executivo do Ministério da Economia</t>
        </is>
      </c>
      <c r="H42" s="8" t="inlineStr">
        <is>
          <t>Ministério da Economia</t>
        </is>
      </c>
      <c r="I42" s="8" t="inlineStr">
        <is>
          <t>Mantido</t>
        </is>
      </c>
      <c r="J42" s="8" t="inlineStr">
        <is>
          <t>Interlocutor de órgão do escopo; título sem tema de política externa; composição aparentemente restrita.</t>
        </is>
      </c>
      <c r="K42" s="8" t="inlineStr"/>
      <c r="L42" s="8" t="n">
        <v>36</v>
      </c>
      <c r="M42" s="8" t="inlineStr">
        <is>
          <t>https://www.gov.br/mre/pt-br/agendas/agendas-de-autoridades-anteriores/agenda-antiga-fernando-simas-magalhaes/2021-11-19</t>
        </is>
      </c>
    </row>
    <row r="43">
      <c r="A43" s="8" t="n">
        <v>67</v>
      </c>
      <c r="B43" s="9" t="n">
        <v>44543</v>
      </c>
      <c r="C43" s="8" t="inlineStr">
        <is>
          <t>11:00</t>
        </is>
      </c>
      <c r="D43" s="8" t="inlineStr">
        <is>
          <t>Secretário-Geral</t>
        </is>
      </c>
      <c r="E43" s="8" t="inlineStr">
        <is>
          <t>Fernando Simas Magalhães</t>
        </is>
      </c>
      <c r="F43" s="8" t="inlineStr">
        <is>
          <t>Casa Civil</t>
        </is>
      </c>
      <c r="G43" s="8" t="inlineStr">
        <is>
          <t>Senhor Jônathas Assunção Salvador Nery de Castro, Secretário-Executivo da Casa Civil da Presidência da República</t>
        </is>
      </c>
      <c r="H43" s="8" t="inlineStr">
        <is>
          <t>Palácio do Planalto</t>
        </is>
      </c>
      <c r="I43" s="8" t="inlineStr">
        <is>
          <t>Mantido</t>
        </is>
      </c>
      <c r="J43" s="8" t="inlineStr">
        <is>
          <t>Interlocutor de órgão do escopo; título sem tema de política externa; composição aparentemente restrita.</t>
        </is>
      </c>
      <c r="K43" s="8" t="inlineStr"/>
      <c r="L43" s="8" t="n">
        <v>37</v>
      </c>
      <c r="M43" s="8" t="inlineStr">
        <is>
          <t>https://www.gov.br/mre/pt-br/agendas/agendas-de-autoridades-anteriores/agenda-antiga-fernando-simas-magalhaes/2021-12-13</t>
        </is>
      </c>
    </row>
    <row r="44">
      <c r="A44" s="8" t="n">
        <v>68</v>
      </c>
      <c r="B44" s="9" t="n">
        <v>44547</v>
      </c>
      <c r="C44" s="8" t="inlineStr">
        <is>
          <t>12:15</t>
        </is>
      </c>
      <c r="D44" s="8" t="inlineStr">
        <is>
          <t>Ministro de Estado</t>
        </is>
      </c>
      <c r="E44" s="8" t="inlineStr">
        <is>
          <t>Carlos Alberto Franco França</t>
        </is>
      </c>
      <c r="F44" s="8" t="inlineStr">
        <is>
          <t>Ministério da Economia</t>
        </is>
      </c>
      <c r="G44" s="8" t="inlineStr">
        <is>
          <t>Chefe da Assessoria Especial de Assuntos Estratégicos do Ministério da Economia, Senhora Daniella Marques Consentino</t>
        </is>
      </c>
      <c r="H44" s="8" t="inlineStr">
        <is>
          <t>Gabinete</t>
        </is>
      </c>
      <c r="I44" s="8" t="inlineStr">
        <is>
          <t>Mantido</t>
        </is>
      </c>
      <c r="J44" s="8" t="inlineStr">
        <is>
          <t>Interlocutor de órgão do escopo; título sem tema de política externa; composição aparentemente restrita.</t>
        </is>
      </c>
      <c r="K44" s="8" t="inlineStr"/>
      <c r="L44" s="8" t="n">
        <v>38</v>
      </c>
      <c r="M44" s="8" t="inlineStr">
        <is>
          <t>https://www.gov.br/mre/pt-br/agendas/agendas-de-autoridades-anteriores/agenda-antiga-carlos-alberto-franco-franca/2021-12-17</t>
        </is>
      </c>
    </row>
    <row r="45">
      <c r="A45" s="8" t="n">
        <v>69</v>
      </c>
      <c r="B45" s="9" t="n">
        <v>44603</v>
      </c>
      <c r="C45" s="8" t="inlineStr">
        <is>
          <t>17:30</t>
        </is>
      </c>
      <c r="D45" s="8" t="inlineStr">
        <is>
          <t>Ministro de Estado</t>
        </is>
      </c>
      <c r="E45" s="8" t="inlineStr">
        <is>
          <t>Carlos Alberto Franco França</t>
        </is>
      </c>
      <c r="F45" s="8" t="inlineStr">
        <is>
          <t>Ministério da Economia</t>
        </is>
      </c>
      <c r="G45" s="8" t="inlineStr">
        <is>
          <t>Ministro de Estado da Economia, Paulo Guedes</t>
        </is>
      </c>
      <c r="H45" s="8" t="inlineStr">
        <is>
          <t>Gabinete</t>
        </is>
      </c>
      <c r="I45" s="8" t="inlineStr">
        <is>
          <t>Mantido</t>
        </is>
      </c>
      <c r="J45" s="8" t="inlineStr">
        <is>
          <t>Interlocutor de órgão do escopo; título sem tema de política externa; composição aparentemente restrita.</t>
        </is>
      </c>
      <c r="K45" s="8" t="inlineStr"/>
      <c r="L45" s="8" t="n">
        <v>39</v>
      </c>
      <c r="M45" s="8" t="inlineStr">
        <is>
          <t>https://www.gov.br/mre/pt-br/agendas/agendas-de-autoridades-anteriores/agenda-antiga-carlos-alberto-franco-franca/2022-02-11</t>
        </is>
      </c>
    </row>
    <row r="46">
      <c r="A46" s="8" t="n">
        <v>71</v>
      </c>
      <c r="B46" s="9" t="n">
        <v>44641</v>
      </c>
      <c r="C46" s="8" t="inlineStr">
        <is>
          <t>16:00</t>
        </is>
      </c>
      <c r="D46" s="8" t="inlineStr">
        <is>
          <t>Secretário-Geral</t>
        </is>
      </c>
      <c r="E46" s="8" t="inlineStr">
        <is>
          <t>Fernando Simas Magalhães</t>
        </is>
      </c>
      <c r="F46" s="8" t="inlineStr">
        <is>
          <t>Casa Civil</t>
        </is>
      </c>
      <c r="G46" s="8" t="inlineStr">
        <is>
          <t>Senhor Jônathas Assunção Salvador Nery de Castro, Secretário-Executivo da Casa Civil da Presidência da República</t>
        </is>
      </c>
      <c r="H46" s="8" t="inlineStr">
        <is>
          <t>Palácio do Planalto</t>
        </is>
      </c>
      <c r="I46" s="8" t="inlineStr">
        <is>
          <t>Mantido</t>
        </is>
      </c>
      <c r="J46" s="8" t="inlineStr">
        <is>
          <t>Interlocutor de órgão do escopo; título sem tema de política externa; composição aparentemente restrita.</t>
        </is>
      </c>
      <c r="K46" s="8" t="inlineStr"/>
      <c r="L46" s="8" t="n">
        <v>40</v>
      </c>
      <c r="M46" s="8" t="inlineStr">
        <is>
          <t>https://www.gov.br/mre/pt-br/agendas/agendas-de-autoridades-anteriores/agenda-antiga-fernando-simas-magalhaes/2022-03-21</t>
        </is>
      </c>
    </row>
    <row r="47">
      <c r="A47" s="8" t="n">
        <v>72</v>
      </c>
      <c r="B47" s="9" t="n">
        <v>44644</v>
      </c>
      <c r="C47" s="8" t="inlineStr">
        <is>
          <t>14:30</t>
        </is>
      </c>
      <c r="D47" s="8" t="inlineStr">
        <is>
          <t>Ministro de Estado</t>
        </is>
      </c>
      <c r="E47" s="8" t="inlineStr">
        <is>
          <t>Carlos Alberto Franco França</t>
        </is>
      </c>
      <c r="F47" s="8" t="inlineStr">
        <is>
          <t>Casa Civil</t>
        </is>
      </c>
      <c r="G47" s="8" t="inlineStr">
        <is>
          <t>Audiência com o Ministro-Chefe da Casa Civil, Ciro Nogueira</t>
        </is>
      </c>
      <c r="H47" s="8" t="inlineStr">
        <is>
          <t>Palácio do Planalto</t>
        </is>
      </c>
      <c r="I47" s="8" t="inlineStr">
        <is>
          <t>Mantido</t>
        </is>
      </c>
      <c r="J47" s="8" t="inlineStr">
        <is>
          <t>Interlocutor de órgão do escopo; título sem tema de política externa; composição aparentemente restrita.</t>
        </is>
      </c>
      <c r="K47" s="8" t="inlineStr"/>
      <c r="L47" s="8" t="n">
        <v>41</v>
      </c>
      <c r="M47" s="8" t="inlineStr">
        <is>
          <t>https://www.gov.br/mre/pt-br/agendas/agendas-de-autoridades-anteriores/agenda-antiga-carlos-alberto-franco-franca/2022-03-24</t>
        </is>
      </c>
    </row>
    <row r="48">
      <c r="A48" s="8" t="n">
        <v>74</v>
      </c>
      <c r="B48" s="9" t="n">
        <v>44685</v>
      </c>
      <c r="C48" s="8" t="inlineStr">
        <is>
          <t>17:30</t>
        </is>
      </c>
      <c r="D48" s="8" t="inlineStr">
        <is>
          <t>Ministro de Estado</t>
        </is>
      </c>
      <c r="E48" s="8" t="inlineStr">
        <is>
          <t>Carlos Alberto Franco França</t>
        </is>
      </c>
      <c r="F48" s="8" t="inlineStr">
        <is>
          <t>Ministério da Economia</t>
        </is>
      </c>
      <c r="G48" s="8" t="inlineStr">
        <is>
          <t>Secretária de Produtividade e Competitividade do Ministério da Economia, Daniella Marques Consentino</t>
        </is>
      </c>
      <c r="H48" s="8" t="inlineStr">
        <is>
          <t>Gabinete</t>
        </is>
      </c>
      <c r="I48" s="8" t="inlineStr">
        <is>
          <t>Mantido</t>
        </is>
      </c>
      <c r="J48" s="8" t="inlineStr">
        <is>
          <t>Interlocutor de órgão do escopo; título sem tema de política externa; composição aparentemente restrita.</t>
        </is>
      </c>
      <c r="K48" s="8" t="inlineStr"/>
      <c r="L48" s="8" t="n">
        <v>42</v>
      </c>
      <c r="M48" s="8" t="inlineStr">
        <is>
          <t>https://www.gov.br/mre/pt-br/agendas/agendas-de-autoridades-anteriores/agenda-antiga-carlos-alberto-franco-franca/2022-05-04</t>
        </is>
      </c>
    </row>
    <row r="49">
      <c r="A49" s="8" t="n">
        <v>78</v>
      </c>
      <c r="B49" s="9" t="n">
        <v>44735</v>
      </c>
      <c r="C49" s="8" t="inlineStr">
        <is>
          <t>17:30</t>
        </is>
      </c>
      <c r="D49" s="8" t="inlineStr">
        <is>
          <t>Ministro de Estado</t>
        </is>
      </c>
      <c r="E49" s="8" t="inlineStr">
        <is>
          <t>Carlos Alberto Franco França</t>
        </is>
      </c>
      <c r="F49" s="8" t="inlineStr">
        <is>
          <t>Ministério da Economia</t>
        </is>
      </c>
      <c r="G49" s="8" t="inlineStr">
        <is>
          <t>Secretária de Produtividade e Competitividade do Ministério da Economia, Daniella Marques</t>
        </is>
      </c>
      <c r="H49" s="8" t="inlineStr">
        <is>
          <t>Ministério da Economia - Esplanada dos Ministérios, Bloco J, 6º andar</t>
        </is>
      </c>
      <c r="I49" s="8" t="inlineStr">
        <is>
          <t>Mantido</t>
        </is>
      </c>
      <c r="J49" s="8" t="inlineStr">
        <is>
          <t>Interlocutor de órgão do escopo; título sem tema de política externa; composição aparentemente restrita.</t>
        </is>
      </c>
      <c r="K49" s="8" t="inlineStr"/>
      <c r="L49" s="8" t="n">
        <v>43</v>
      </c>
      <c r="M49" s="8" t="inlineStr">
        <is>
          <t>https://www.gov.br/mre/pt-br/agendas/agendas-de-autoridades-anteriores/agenda-antiga-carlos-alberto-franco-franca/2022-06-23</t>
        </is>
      </c>
    </row>
    <row r="50">
      <c r="A50" s="8" t="n">
        <v>82</v>
      </c>
      <c r="B50" s="9" t="n">
        <v>44749</v>
      </c>
      <c r="C50" s="8" t="inlineStr">
        <is>
          <t>16:00</t>
        </is>
      </c>
      <c r="D50" s="8" t="inlineStr">
        <is>
          <t>Secretário-Geral</t>
        </is>
      </c>
      <c r="E50" s="8" t="inlineStr">
        <is>
          <t>Fernando Simas Magalhães</t>
        </is>
      </c>
      <c r="F50" s="8" t="inlineStr">
        <is>
          <t>Ministério da Economia</t>
        </is>
      </c>
      <c r="G50" s="8" t="inlineStr">
        <is>
          <t>Dr. Marcelo Pacheco dos Guaranys, Secretário-Executivo do Ministério da Economia</t>
        </is>
      </c>
      <c r="H50" s="8" t="inlineStr">
        <is>
          <t>Secretaria-Geral</t>
        </is>
      </c>
      <c r="I50" s="8" t="inlineStr">
        <is>
          <t>Mantido</t>
        </is>
      </c>
      <c r="J50" s="8" t="inlineStr">
        <is>
          <t>Interlocutor de órgão do escopo; título sem tema de política externa; composição aparentemente restrita.</t>
        </is>
      </c>
      <c r="K50" s="8" t="inlineStr"/>
      <c r="L50" s="8" t="n">
        <v>44</v>
      </c>
      <c r="M50" s="8" t="inlineStr">
        <is>
          <t>https://www.gov.br/mre/pt-br/agendas/agendas-de-autoridades-anteriores/agenda-antiga-fernando-simas-magalhaes/2022-07-07</t>
        </is>
      </c>
    </row>
    <row r="51">
      <c r="A51" s="8" t="n">
        <v>90</v>
      </c>
      <c r="B51" s="9" t="n">
        <v>44783</v>
      </c>
      <c r="C51" s="8" t="inlineStr">
        <is>
          <t>13:00</t>
        </is>
      </c>
      <c r="D51" s="8" t="inlineStr">
        <is>
          <t>Ministro de Estado</t>
        </is>
      </c>
      <c r="E51" s="8" t="inlineStr">
        <is>
          <t>Carlos Alberto Franco França</t>
        </is>
      </c>
      <c r="F51" s="8" t="inlineStr">
        <is>
          <t>Ministério da Economia — Receita Federal</t>
        </is>
      </c>
      <c r="G51" s="8" t="inlineStr">
        <is>
          <t>Almoço oferecido ao Secretário Especial da Receita Federal do Brasil, Julio Cesar Vieira Gomes</t>
        </is>
      </c>
      <c r="H51" s="8" t="inlineStr">
        <is>
          <t>Palácio Itamaraty</t>
        </is>
      </c>
      <c r="I51" s="8" t="inlineStr">
        <is>
          <t>Mantido</t>
        </is>
      </c>
      <c r="J51" s="8" t="inlineStr">
        <is>
          <t>Interlocutor de órgão do escopo; título sem tema de política externa; composição aparentemente restrita.</t>
        </is>
      </c>
      <c r="K51" s="8" t="inlineStr">
        <is>
          <t>Almoço; porte não verificável (a agenda gov.br não lista participantes). A Receita Federal integra o Ministério da Economia (sucessor da Fazenda); relevância orçamentária indireta.</t>
        </is>
      </c>
      <c r="L51" s="8" t="n">
        <v>45</v>
      </c>
      <c r="M51" s="8" t="inlineStr">
        <is>
          <t>https://www.gov.br/mre/pt-br/agendas/agendas-de-autoridades-anteriores/agenda-antiga-carlos-alberto-franco-franca/2022-08-10</t>
        </is>
      </c>
    </row>
    <row r="52">
      <c r="A52" s="8" t="n">
        <v>91</v>
      </c>
      <c r="B52" s="9" t="n">
        <v>44783</v>
      </c>
      <c r="C52" s="8" t="inlineStr">
        <is>
          <t>13:00</t>
        </is>
      </c>
      <c r="D52" s="8" t="inlineStr">
        <is>
          <t>Secretário-Geral</t>
        </is>
      </c>
      <c r="E52" s="8" t="inlineStr">
        <is>
          <t>Fernando Simas Magalhães</t>
        </is>
      </c>
      <c r="F52" s="8" t="inlineStr">
        <is>
          <t>Ministério da Economia — Receita Federal</t>
        </is>
      </c>
      <c r="G52" s="8" t="inlineStr">
        <is>
          <t>Acompanha o Ministro das Relações Exteriores, Embaixador Carlos Alberto Franco França, em almoço oferecido ao Secretário Especial da Receita Federal do Brasil, Julio Cesar Vieira Gomes</t>
        </is>
      </c>
      <c r="H52" s="8" t="inlineStr">
        <is>
          <t>Sala Bahia – Palácio Itamaraty</t>
        </is>
      </c>
      <c r="I52" s="8" t="inlineStr">
        <is>
          <t>Mantido</t>
        </is>
      </c>
      <c r="J52" s="8" t="inlineStr">
        <is>
          <t>Interlocutor de órgão do escopo; título sem tema de política externa; composição aparentemente restrita.</t>
        </is>
      </c>
      <c r="K52" s="8" t="inlineStr">
        <is>
          <t>Registro da Secretaria-Geral do mesmo evento da agenda do Ministro de Estado. Almoço; porte não verificável (a agenda gov.br não lista participantes). A Receita Federal integra o Ministério da Economia (sucessor da Fazenda); relevância orçamentária indireta.</t>
        </is>
      </c>
      <c r="L52" s="8" t="n">
        <v>45</v>
      </c>
      <c r="M52" s="8" t="inlineStr">
        <is>
          <t>https://www.gov.br/mre/pt-br/agendas/agendas-de-autoridades-anteriores/agenda-antiga-fernando-simas-magalhaes/2022-08-10</t>
        </is>
      </c>
    </row>
    <row r="53">
      <c r="A53" s="8" t="n">
        <v>107</v>
      </c>
      <c r="B53" s="9" t="n">
        <v>44838</v>
      </c>
      <c r="C53" s="8" t="inlineStr">
        <is>
          <t>12:00</t>
        </is>
      </c>
      <c r="D53" s="8" t="inlineStr">
        <is>
          <t>Ministro de Estado</t>
        </is>
      </c>
      <c r="E53" s="8" t="inlineStr">
        <is>
          <t>Carlos Alberto Franco França</t>
        </is>
      </c>
      <c r="F53" s="8" t="inlineStr">
        <is>
          <t>Ministério da Economia</t>
        </is>
      </c>
      <c r="G53" s="8" t="inlineStr">
        <is>
          <t>Ministro de Estado da Economia, Paulo Guedes</t>
        </is>
      </c>
      <c r="H53" s="8" t="inlineStr">
        <is>
          <t>Ministério da Economia - Esplanada dos Ministérios, Bloco P, 5º andar</t>
        </is>
      </c>
      <c r="I53" s="8" t="inlineStr">
        <is>
          <t>Mantido</t>
        </is>
      </c>
      <c r="J53" s="8" t="inlineStr">
        <is>
          <t>Interlocutor de órgão do escopo; título sem tema de política externa; composição aparentemente restrita.</t>
        </is>
      </c>
      <c r="K53" s="8" t="inlineStr"/>
      <c r="L53" s="8" t="n">
        <v>46</v>
      </c>
      <c r="M53" s="8" t="inlineStr">
        <is>
          <t>https://www.gov.br/mre/pt-br/agendas/agendas-de-autoridades-anteriores/agenda-antiga-carlos-alberto-franco-franca/2022-10-04</t>
        </is>
      </c>
    </row>
    <row r="54">
      <c r="A54" s="8" t="n">
        <v>109</v>
      </c>
      <c r="B54" s="9" t="n">
        <v>44840</v>
      </c>
      <c r="C54" s="8" t="inlineStr">
        <is>
          <t>14:00</t>
        </is>
      </c>
      <c r="D54" s="8" t="inlineStr">
        <is>
          <t>Ministro de Estado</t>
        </is>
      </c>
      <c r="E54" s="8" t="inlineStr">
        <is>
          <t>Carlos Alberto Franco França</t>
        </is>
      </c>
      <c r="F54" s="8" t="inlineStr">
        <is>
          <t>Ministério da Economia — Receita Federal</t>
        </is>
      </c>
      <c r="G54" s="8" t="inlineStr">
        <is>
          <t>Secretário Especial da Receita Federal, Julio Cesar Vieira Gomes</t>
        </is>
      </c>
      <c r="H54" s="8" t="inlineStr">
        <is>
          <t>Ministério da Economia Bloco P, 7º andar</t>
        </is>
      </c>
      <c r="I54" s="8" t="inlineStr">
        <is>
          <t>Mantido</t>
        </is>
      </c>
      <c r="J54" s="8" t="inlineStr">
        <is>
          <t>Interlocutor de órgão do escopo; título sem tema de política externa; composição aparentemente restrita.</t>
        </is>
      </c>
      <c r="K54" s="8" t="inlineStr">
        <is>
          <t>A Receita Federal integra o Ministério da Economia (sucessor da Fazenda); relevância orçamentária indireta.</t>
        </is>
      </c>
      <c r="L54" s="8" t="n">
        <v>47</v>
      </c>
      <c r="M54" s="8" t="inlineStr">
        <is>
          <t>https://www.gov.br/mre/pt-br/agendas/agendas-de-autoridades-anteriores/agenda-antiga-carlos-alberto-franco-franca/2022-10-06</t>
        </is>
      </c>
    </row>
    <row r="55">
      <c r="A55" s="8" t="n">
        <v>111</v>
      </c>
      <c r="B55" s="9" t="n">
        <v>44844</v>
      </c>
      <c r="C55" s="8" t="inlineStr">
        <is>
          <t>16:00</t>
        </is>
      </c>
      <c r="D55" s="8" t="inlineStr">
        <is>
          <t>Ministro de Estado</t>
        </is>
      </c>
      <c r="E55" s="8" t="inlineStr">
        <is>
          <t>Carlos Alberto Franco França</t>
        </is>
      </c>
      <c r="F55" s="8" t="inlineStr">
        <is>
          <t>Casa Civil</t>
        </is>
      </c>
      <c r="G55" s="8" t="inlineStr">
        <is>
          <t>Telefonema com o Secretário Especial de Relações Governamentais da Casa Civil da Presidência da República, Bruno Grossi</t>
        </is>
      </c>
      <c r="H55" s="8" t="inlineStr">
        <is>
          <t>Gabinete</t>
        </is>
      </c>
      <c r="I55" s="8" t="inlineStr">
        <is>
          <t>Mantido</t>
        </is>
      </c>
      <c r="J55" s="8" t="inlineStr">
        <is>
          <t>Interlocutor de órgão do escopo; título sem tema de política externa; composição aparentemente restrita.</t>
        </is>
      </c>
      <c r="K55" s="8" t="inlineStr">
        <is>
          <t>Telefonema.</t>
        </is>
      </c>
      <c r="L55" s="8" t="n">
        <v>48</v>
      </c>
      <c r="M55" s="8" t="inlineStr">
        <is>
          <t>https://www.gov.br/mre/pt-br/agendas/agendas-de-autoridades-anteriores/agenda-antiga-carlos-alberto-franco-franca/2022-10-10</t>
        </is>
      </c>
    </row>
    <row r="56">
      <c r="A56" s="8" t="n">
        <v>112</v>
      </c>
      <c r="B56" s="9" t="n">
        <v>44844</v>
      </c>
      <c r="C56" s="8" t="inlineStr">
        <is>
          <t>16:30</t>
        </is>
      </c>
      <c r="D56" s="8" t="inlineStr">
        <is>
          <t>Ministro de Estado</t>
        </is>
      </c>
      <c r="E56" s="8" t="inlineStr">
        <is>
          <t>Carlos Alberto Franco França</t>
        </is>
      </c>
      <c r="F56" s="8" t="inlineStr">
        <is>
          <t>Ministério da Economia — Secretaria de Orçamento Federal</t>
        </is>
      </c>
      <c r="G56" s="8" t="inlineStr">
        <is>
          <t>Telefonema com o Secretário de Orçamento Federal do Ministério da Economia, Ariosto Antunes Culau</t>
        </is>
      </c>
      <c r="H56" s="8" t="inlineStr">
        <is>
          <t>Gabinete</t>
        </is>
      </c>
      <c r="I56" s="8" t="inlineStr">
        <is>
          <t>Mantido</t>
        </is>
      </c>
      <c r="J56" s="8" t="inlineStr">
        <is>
          <t>Interlocutor de órgão do escopo; título sem tema de política externa; composição aparentemente restrita.</t>
        </is>
      </c>
      <c r="K56" s="8" t="inlineStr">
        <is>
          <t>Telefonema.</t>
        </is>
      </c>
      <c r="L56" s="8" t="n">
        <v>49</v>
      </c>
      <c r="M56" s="8" t="inlineStr">
        <is>
          <t>https://www.gov.br/mre/pt-br/agendas/agendas-de-autoridades-anteriores/agenda-antiga-carlos-alberto-franco-franca/2022-10-10</t>
        </is>
      </c>
    </row>
    <row r="57">
      <c r="A57" s="8" t="n">
        <v>119</v>
      </c>
      <c r="B57" s="9" t="n">
        <v>44854</v>
      </c>
      <c r="C57" s="8" t="inlineStr">
        <is>
          <t>11:00</t>
        </is>
      </c>
      <c r="D57" s="8" t="inlineStr">
        <is>
          <t>Ministro de Estado</t>
        </is>
      </c>
      <c r="E57" s="8" t="inlineStr">
        <is>
          <t>Carlos Alberto Franco França</t>
        </is>
      </c>
      <c r="F57" s="8" t="inlineStr">
        <is>
          <t>Ministério da Economia — Receita Federal</t>
        </is>
      </c>
      <c r="G57" s="8" t="inlineStr">
        <is>
          <t>Secretário Especial da Receita Federal, Julio Cesar Vieira Gomes</t>
        </is>
      </c>
      <c r="H57" s="8" t="inlineStr">
        <is>
          <t>Sala de videoconferências</t>
        </is>
      </c>
      <c r="I57" s="8" t="inlineStr">
        <is>
          <t>Mantido</t>
        </is>
      </c>
      <c r="J57" s="8" t="inlineStr">
        <is>
          <t>Interlocutor de órgão do escopo; título sem tema de política externa; composição aparentemente restrita.</t>
        </is>
      </c>
      <c r="K57" s="8" t="inlineStr">
        <is>
          <t>Videoconferência. A Receita Federal integra o Ministério da Economia (sucessor da Fazenda); relevância orçamentária indireta.</t>
        </is>
      </c>
      <c r="L57" s="8" t="n">
        <v>50</v>
      </c>
      <c r="M57" s="8" t="inlineStr">
        <is>
          <t>https://www.gov.br/mre/pt-br/agendas/agendas-de-autoridades-anteriores/agenda-antiga-carlos-alberto-franco-franca/2022-10-20</t>
        </is>
      </c>
    </row>
    <row r="58">
      <c r="A58" s="8" t="n">
        <v>124</v>
      </c>
      <c r="B58" s="9" t="n">
        <v>44889</v>
      </c>
      <c r="C58" s="8" t="inlineStr">
        <is>
          <t>11:00</t>
        </is>
      </c>
      <c r="D58" s="8" t="inlineStr">
        <is>
          <t>Ministro de Estado</t>
        </is>
      </c>
      <c r="E58" s="8" t="inlineStr">
        <is>
          <t>Carlos Alberto Franco França</t>
        </is>
      </c>
      <c r="F58" s="8" t="inlineStr">
        <is>
          <t>Ministério da Economia</t>
        </is>
      </c>
      <c r="G58" s="8" t="inlineStr">
        <is>
          <t>Secretário Especial de Desburocratização, Gestão e Governo Digital do Ministério da Economia, Leonardo Sultani</t>
        </is>
      </c>
      <c r="H58" s="8" t="inlineStr">
        <is>
          <t>Gabinete</t>
        </is>
      </c>
      <c r="I58" s="8" t="inlineStr">
        <is>
          <t>Mantido</t>
        </is>
      </c>
      <c r="J58" s="8" t="inlineStr">
        <is>
          <t>Interlocutor de órgão do escopo; título sem tema de política externa; composição aparentemente restrita.</t>
        </is>
      </c>
      <c r="K58" s="8" t="inlineStr"/>
      <c r="L58" s="8" t="n">
        <v>51</v>
      </c>
      <c r="M58" s="8" t="inlineStr">
        <is>
          <t>https://www.gov.br/mre/pt-br/agendas/agendas-de-autoridades-anteriores/agenda-antiga-carlos-alberto-franco-franca/2022-11-24</t>
        </is>
      </c>
    </row>
    <row r="59">
      <c r="A59" s="8" t="n">
        <v>125</v>
      </c>
      <c r="B59" s="9" t="n">
        <v>44890</v>
      </c>
      <c r="C59" s="8" t="inlineStr">
        <is>
          <t>16:00</t>
        </is>
      </c>
      <c r="D59" s="8" t="inlineStr">
        <is>
          <t>Ministro de Estado</t>
        </is>
      </c>
      <c r="E59" s="8" t="inlineStr">
        <is>
          <t>Carlos Alberto Franco França</t>
        </is>
      </c>
      <c r="F59" s="8" t="inlineStr">
        <is>
          <t>Ministério da Economia</t>
        </is>
      </c>
      <c r="G59" s="8" t="inlineStr">
        <is>
          <t>Ministro de Estado da Economia, Paulo Guedes</t>
        </is>
      </c>
      <c r="H59" s="8" t="inlineStr">
        <is>
          <t>Ministério da Economia</t>
        </is>
      </c>
      <c r="I59" s="8" t="inlineStr">
        <is>
          <t>Mantido</t>
        </is>
      </c>
      <c r="J59" s="8" t="inlineStr">
        <is>
          <t>Interlocutor de órgão do escopo; título sem tema de política externa; composição aparentemente restrita.</t>
        </is>
      </c>
      <c r="K59" s="8" t="inlineStr"/>
      <c r="L59" s="8" t="n">
        <v>52</v>
      </c>
      <c r="M59" s="8" t="inlineStr">
        <is>
          <t>https://www.gov.br/mre/pt-br/agendas/agendas-de-autoridades-anteriores/agenda-antiga-carlos-alberto-franco-franca/2022-11-25</t>
        </is>
      </c>
    </row>
    <row r="60">
      <c r="A60" s="8" t="n">
        <v>126</v>
      </c>
      <c r="B60" s="9" t="n">
        <v>44895</v>
      </c>
      <c r="C60" s="8" t="inlineStr">
        <is>
          <t>10:30</t>
        </is>
      </c>
      <c r="D60" s="8" t="inlineStr">
        <is>
          <t>Ministro de Estado</t>
        </is>
      </c>
      <c r="E60" s="8" t="inlineStr">
        <is>
          <t>Carlos Alberto Franco França</t>
        </is>
      </c>
      <c r="F60" s="8" t="inlineStr">
        <is>
          <t>Casa Civil</t>
        </is>
      </c>
      <c r="G60" s="8" t="inlineStr">
        <is>
          <t>Audiência com o Ministro-Chefe da Casa Civil, Ciro Nogueira</t>
        </is>
      </c>
      <c r="H60" s="8" t="inlineStr">
        <is>
          <t>Palácio do Planalto</t>
        </is>
      </c>
      <c r="I60" s="8" t="inlineStr">
        <is>
          <t>Mantido</t>
        </is>
      </c>
      <c r="J60" s="8" t="inlineStr">
        <is>
          <t>Interlocutor de órgão do escopo; título sem tema de política externa; composição aparentemente restrita.</t>
        </is>
      </c>
      <c r="K60" s="8" t="inlineStr"/>
      <c r="L60" s="8" t="n">
        <v>53</v>
      </c>
      <c r="M60" s="8" t="inlineStr">
        <is>
          <t>https://www.gov.br/mre/pt-br/agendas/agendas-de-autoridades-anteriores/agenda-antiga-carlos-alberto-franco-franca/2022-11-30</t>
        </is>
      </c>
    </row>
    <row r="61">
      <c r="A61" s="8" t="n">
        <v>127</v>
      </c>
      <c r="B61" s="9" t="n">
        <v>44897</v>
      </c>
      <c r="C61" s="8" t="inlineStr">
        <is>
          <t>11:45</t>
        </is>
      </c>
      <c r="D61" s="8" t="inlineStr">
        <is>
          <t>Ministro de Estado</t>
        </is>
      </c>
      <c r="E61" s="8" t="inlineStr">
        <is>
          <t>Carlos Alberto Franco França</t>
        </is>
      </c>
      <c r="F61" s="8" t="inlineStr">
        <is>
          <t>Ministério da Economia</t>
        </is>
      </c>
      <c r="G61" s="8" t="inlineStr">
        <is>
          <t>Secretário-executivo do Ministério da Economia, Marcelo Pacheco dos Guaranys</t>
        </is>
      </c>
      <c r="H61" s="8" t="inlineStr">
        <is>
          <t>Ministério da Economia</t>
        </is>
      </c>
      <c r="I61" s="8" t="inlineStr">
        <is>
          <t>Mantido</t>
        </is>
      </c>
      <c r="J61" s="8" t="inlineStr">
        <is>
          <t>Interlocutor de órgão do escopo; título sem tema de política externa; composição aparentemente restrita.</t>
        </is>
      </c>
      <c r="K61" s="8" t="inlineStr"/>
      <c r="L61" s="8" t="n">
        <v>54</v>
      </c>
      <c r="M61" s="8" t="inlineStr">
        <is>
          <t>https://www.gov.br/mre/pt-br/agendas/agendas-de-autoridades-anteriores/agenda-antiga-carlos-alberto-franco-franca/2022-12-02</t>
        </is>
      </c>
    </row>
    <row r="62">
      <c r="A62" s="8" t="n">
        <v>128</v>
      </c>
      <c r="B62" s="9" t="n">
        <v>44900</v>
      </c>
      <c r="C62" s="8" t="inlineStr">
        <is>
          <t>11:00</t>
        </is>
      </c>
      <c r="D62" s="8" t="inlineStr">
        <is>
          <t>Secretário-Geral</t>
        </is>
      </c>
      <c r="E62" s="8" t="inlineStr">
        <is>
          <t>Fernando Simas Magalhães</t>
        </is>
      </c>
      <c r="F62" s="8" t="inlineStr">
        <is>
          <t>Ministério da Economia</t>
        </is>
      </c>
      <c r="G62" s="8" t="inlineStr">
        <is>
          <t>Secretário-Executivo do Ministério da Economia, Marcelo Pacheco dos Guaranys</t>
        </is>
      </c>
      <c r="H62" s="8" t="inlineStr">
        <is>
          <t>Ministério da Economia</t>
        </is>
      </c>
      <c r="I62" s="8" t="inlineStr">
        <is>
          <t>Mantido</t>
        </is>
      </c>
      <c r="J62" s="8" t="inlineStr">
        <is>
          <t>Interlocutor de órgão do escopo; título sem tema de política externa; composição aparentemente restrita.</t>
        </is>
      </c>
      <c r="K62" s="8" t="inlineStr"/>
      <c r="L62" s="8" t="n">
        <v>55</v>
      </c>
      <c r="M62" s="8" t="inlineStr">
        <is>
          <t>https://www.gov.br/mre/pt-br/agendas/agendas-de-autoridades-anteriores/agenda-antiga-fernando-simas-magalhaes/2022-12-05</t>
        </is>
      </c>
    </row>
    <row r="63">
      <c r="A63" s="8" t="n">
        <v>129</v>
      </c>
      <c r="B63" s="9" t="n">
        <v>44915</v>
      </c>
      <c r="C63" s="8" t="inlineStr">
        <is>
          <t>10:30</t>
        </is>
      </c>
      <c r="D63" s="8" t="inlineStr">
        <is>
          <t>Ministro de Estado</t>
        </is>
      </c>
      <c r="E63" s="8" t="inlineStr">
        <is>
          <t>Carlos Alberto Franco França</t>
        </is>
      </c>
      <c r="F63" s="8" t="inlineStr">
        <is>
          <t>Casa Civil</t>
        </is>
      </c>
      <c r="G63" s="8" t="inlineStr">
        <is>
          <t>Ministro de Estado Chefe da Casa Civil da Presidência da República, Ciro Nogueira</t>
        </is>
      </c>
      <c r="H63" s="8" t="inlineStr">
        <is>
          <t>Palácio do Planalto</t>
        </is>
      </c>
      <c r="I63" s="8" t="inlineStr">
        <is>
          <t>Mantido</t>
        </is>
      </c>
      <c r="J63" s="8" t="inlineStr">
        <is>
          <t>Interlocutor de órgão do escopo; título sem tema de política externa; composição aparentemente restrita.</t>
        </is>
      </c>
      <c r="K63" s="8" t="inlineStr"/>
      <c r="L63" s="8" t="n">
        <v>56</v>
      </c>
      <c r="M63" s="8" t="inlineStr">
        <is>
          <t>https://www.gov.br/mre/pt-br/agendas/agendas-de-autoridades-anteriores/agenda-antiga-carlos-alberto-franco-franca/2022-12-20</t>
        </is>
      </c>
    </row>
    <row r="64">
      <c r="A64" s="8" t="n">
        <v>130</v>
      </c>
      <c r="B64" s="9" t="n">
        <v>44916</v>
      </c>
      <c r="C64" s="8" t="inlineStr">
        <is>
          <t>15:30</t>
        </is>
      </c>
      <c r="D64" s="8" t="inlineStr">
        <is>
          <t>Ministro de Estado</t>
        </is>
      </c>
      <c r="E64" s="8" t="inlineStr">
        <is>
          <t>Carlos Alberto Franco França</t>
        </is>
      </c>
      <c r="F64" s="8" t="inlineStr">
        <is>
          <t>Ministério da Economia — Receita Federal</t>
        </is>
      </c>
      <c r="G64" s="8" t="inlineStr">
        <is>
          <t>Secretário Especial da Receita Federal do Brasil Adjunto, Sandro De Vargas Serpa</t>
        </is>
      </c>
      <c r="H64" s="8" t="inlineStr">
        <is>
          <t>Gabinete</t>
        </is>
      </c>
      <c r="I64" s="8" t="inlineStr">
        <is>
          <t>Mantido</t>
        </is>
      </c>
      <c r="J64" s="8" t="inlineStr">
        <is>
          <t>Interlocutor de órgão do escopo; título sem tema de política externa; composição aparentemente restrita.</t>
        </is>
      </c>
      <c r="K64" s="8" t="inlineStr">
        <is>
          <t>A Receita Federal integra o Ministério da Economia (sucessor da Fazenda); relevância orçamentária indireta.</t>
        </is>
      </c>
      <c r="L64" s="8" t="n">
        <v>57</v>
      </c>
      <c r="M64" s="8" t="inlineStr">
        <is>
          <t>https://www.gov.br/mre/pt-br/agendas/agendas-de-autoridades-anteriores/agenda-antiga-carlos-alberto-franco-franca/2022-12-21</t>
        </is>
      </c>
    </row>
    <row r="65">
      <c r="A65" s="8" t="n">
        <v>133</v>
      </c>
      <c r="B65" s="9" t="n">
        <v>44952</v>
      </c>
      <c r="C65" s="8" t="inlineStr">
        <is>
          <t>13:00</t>
        </is>
      </c>
      <c r="D65" s="8" t="inlineStr">
        <is>
          <t>Ministro de Estado</t>
        </is>
      </c>
      <c r="E65" s="8" t="inlineStr">
        <is>
          <t>Mauro Vieira</t>
        </is>
      </c>
      <c r="F65" s="8" t="inlineStr">
        <is>
          <t>Casa Civil</t>
        </is>
      </c>
      <c r="G65" s="8" t="inlineStr">
        <is>
          <t>Ministro da Casa Civil, Rui Costa</t>
        </is>
      </c>
      <c r="H65" s="8" t="inlineStr">
        <is>
          <t>Palácio do Planalto</t>
        </is>
      </c>
      <c r="I65" s="8" t="inlineStr">
        <is>
          <t>Mantido</t>
        </is>
      </c>
      <c r="J65" s="8" t="inlineStr">
        <is>
          <t>Interlocutor de órgão do escopo; título sem tema de política externa; composição aparentemente restrita.</t>
        </is>
      </c>
      <c r="K65" s="8" t="inlineStr">
        <is>
          <t>Período anterior a 08/05/2023, não coberto pela agenda do ME no e-Agendas.</t>
        </is>
      </c>
      <c r="L65" s="8" t="n">
        <v>58</v>
      </c>
      <c r="M65" s="8" t="inlineStr">
        <is>
          <t>https://www.gov.br/mre/pt-br/agendas/agenda-do-ministro-das-relacoes-exteriores/2023-01-26</t>
        </is>
      </c>
    </row>
    <row r="66">
      <c r="A66" s="8" t="n">
        <v>134</v>
      </c>
      <c r="B66" s="9" t="n">
        <v>45016</v>
      </c>
      <c r="C66" s="8" t="inlineStr">
        <is>
          <t>10:00</t>
        </is>
      </c>
      <c r="D66" s="8" t="inlineStr">
        <is>
          <t>Ministro de Estado</t>
        </is>
      </c>
      <c r="E66" s="8" t="inlineStr">
        <is>
          <t>Mauro Vieira</t>
        </is>
      </c>
      <c r="F66" s="8" t="inlineStr">
        <is>
          <t>Casa Civil</t>
        </is>
      </c>
      <c r="G66" s="8" t="inlineStr">
        <is>
          <t>Ministro da Casa Civil, Rui Costa</t>
        </is>
      </c>
      <c r="H66" s="8" t="inlineStr">
        <is>
          <t>Palácio do Planalto</t>
        </is>
      </c>
      <c r="I66" s="8" t="inlineStr">
        <is>
          <t>Mantido</t>
        </is>
      </c>
      <c r="J66" s="8" t="inlineStr">
        <is>
          <t>Interlocutor de órgão do escopo; título sem tema de política externa; composição aparentemente restrita.</t>
        </is>
      </c>
      <c r="K66" s="8" t="inlineStr">
        <is>
          <t>Período anterior a 08/05/2023, não coberto pela agenda do ME no e-Agendas.</t>
        </is>
      </c>
      <c r="L66" s="8" t="n">
        <v>59</v>
      </c>
      <c r="M66" s="8" t="inlineStr">
        <is>
          <t>https://www.gov.br/mre/pt-br/agendas/agenda-do-ministro-das-relacoes-exteriores/2023-03-31</t>
        </is>
      </c>
    </row>
    <row r="67">
      <c r="A67" s="8" t="n">
        <v>135</v>
      </c>
      <c r="B67" s="9" t="n">
        <v>45020</v>
      </c>
      <c r="C67" s="8" t="inlineStr">
        <is>
          <t>12:30</t>
        </is>
      </c>
      <c r="D67" s="8" t="inlineStr">
        <is>
          <t>Ministro de Estado</t>
        </is>
      </c>
      <c r="E67" s="8" t="inlineStr">
        <is>
          <t>Mauro Vieira</t>
        </is>
      </c>
      <c r="F67" s="8" t="inlineStr">
        <is>
          <t>Ministério da Fazenda</t>
        </is>
      </c>
      <c r="G67" s="8" t="inlineStr">
        <is>
          <t>Almoço de trabalho oferecido ao Ministro da Fazenda, Fernando Haddad</t>
        </is>
      </c>
      <c r="H67" s="8" t="inlineStr">
        <is>
          <t>Palácio Itamaraty, Sala Bahia</t>
        </is>
      </c>
      <c r="I67" s="8" t="inlineStr">
        <is>
          <t>Mantido</t>
        </is>
      </c>
      <c r="J67" s="8" t="inlineStr">
        <is>
          <t>Interlocutor de órgão do escopo; título sem tema de política externa; composição aparentemente restrita.</t>
        </is>
      </c>
      <c r="K67" s="8" t="inlineStr">
        <is>
          <t>Almoço; porte não verificável (a agenda gov.br não lista participantes). Período anterior a 08/05/2023, não coberto pela agenda do ME no e-Agendas.</t>
        </is>
      </c>
      <c r="L67" s="8" t="n">
        <v>60</v>
      </c>
      <c r="M67" s="8" t="inlineStr">
        <is>
          <t>https://www.gov.br/mre/pt-br/agendas/agenda-do-ministro-das-relacoes-exteriores/2023-04-04</t>
        </is>
      </c>
    </row>
  </sheetData>
  <autoFilter ref="A1:M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Método</t>
        </is>
      </c>
    </row>
    <row r="2">
      <c r="A2" s="8" t="inlineStr">
        <is>
          <t>Fonte: agendas diárias públicas em www.gov.br/mre (agendas de autoridades anteriores e agenda do ministro), uma página por dia; 3.291 dias requisitados, 4.614 compromissos extraídos (agendas_mre.csv).</t>
        </is>
      </c>
    </row>
    <row r="3">
      <c r="A3" s="8" t="inlineStr">
        <is>
          <t>Seleção de candidatos (regex sobre o título, sem acentos): economia, fazenda, planejamento, casa civil, guedes, ciro nogueira, braga netto, ramos, orçamento(s), orçamentário(a); mais: tesouro, receita federal, secretaria de orçamento, SOF, colnago, funchal, guaranys, waldery, montezano, carlos da costa, JEO, secretaria de governo, SEGOV, celio faria, jonathas, belchior, secretaria-geral da presidência, SGPR, advocacia-geral, controladoria, MGI, haddad, tebet, durigan, rosito, rui costa, mercadante, dweck.</t>
        </is>
      </c>
    </row>
    <row r="4">
      <c r="A4" s="8" t="inlineStr"/>
    </row>
    <row r="5">
      <c r="A5" s="10" t="inlineStr">
        <is>
          <t>Triagem, em ordem:</t>
        </is>
      </c>
    </row>
    <row r="6">
      <c r="A6" s="8" t="inlineStr">
        <is>
          <t>1. Falso positivo lexical — homônimos de 'Ramos' (dep. Marcelo Ramos; emb. Luís Faro Ramos; emb. Hélio Vitor Ramos Filho; min. Marcelo Ramos Araújo; José Ramos-Horta; Edite Ramos), 'Planejamento Diplomático' (assessoria interna do MRE), 'Fazenda da Esperança', sessão do G20 'Economia e Saúde Global'.</t>
        </is>
      </c>
    </row>
    <row r="7">
      <c r="A7" s="8" t="inlineStr">
        <is>
          <t>2. Porte — posses e cerimônias públicas.</t>
        </is>
      </c>
    </row>
    <row r="8">
      <c r="A8" s="8" t="inlineStr">
        <is>
          <t>3. Tema de política externa — bilateral, cúpulas, interlocutor estrangeiro (ex.: reunião da Casa Civil com o embaixador da Eslovênia; Casa Civil de Moçambique).</t>
        </is>
      </c>
    </row>
    <row r="9">
      <c r="A9" s="8" t="inlineStr">
        <is>
          <t>4. Órgão fora do escopo — Secretaria de Governo (Ramos, mar/2021; Flávia Arruda), Secretaria-Geral da Presidência (Ramos, a partir de 03/08/2021; Onyx Lorenzoni; Jorge Oliveira), AGU, CGU, BNDES, MGI, Gabinete da PR.</t>
        </is>
      </c>
    </row>
    <row r="10">
      <c r="A10" s="8" t="inlineStr">
        <is>
          <t>5. Mantido — o restante.</t>
        </is>
      </c>
    </row>
    <row r="11">
      <c r="A11" s="8" t="inlineStr"/>
    </row>
    <row r="12">
      <c r="A12" s="8" t="inlineStr">
        <is>
          <t>Datas de referência (verificadas em 06/10/2026): Braga Netto na Casa Civil de 18/02/2020 a 29/03/2021; Luiz Eduardo Ramos na Casa Civil de 29/03/2021 a 03/08/2021 e na Secretaria-Geral da PR a partir de 03/08/2021; Ciro Nogueira na Casa Civil a partir de 04/08/2021.</t>
        </is>
      </c>
    </row>
    <row r="13">
      <c r="A13" s="8" t="inlineStr"/>
    </row>
    <row r="14">
      <c r="A14" s="8" t="inlineStr">
        <is>
          <t>Limitações: o título é a única informação disponível (sem participantes nem assunto); o porte real das reuniões é desconhecido; a agenda publicada é curada e não registra despachos internos.</t>
        </is>
      </c>
    </row>
    <row r="15">
      <c r="A15" s="8" t="inlineStr">
        <is>
          <t>Reprodutibilidade: scripts/mre_encontros.py (gera este arquivo a partir de agendas_mre.csv).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2026-10-06T10:55:12Z</dcterms:created>
  <dcterms:modified xmlns:dcterms="http://purl.org/dc/terms/" xmlns:xsi="http://www.w3.org/2001/XMLSchema-instance" xsi:type="dcterms:W3CDTF">2026-10-06T10:55:12Z</dcterms:modified>
</cp:coreProperties>
</file>